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l\Desktop\"/>
    </mc:Choice>
  </mc:AlternateContent>
  <xr:revisionPtr revIDLastSave="0" documentId="13_ncr:1_{B7918580-88B9-4C6B-9165-955622647B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  <sheet name="Planilha5" sheetId="5" r:id="rId2"/>
    <sheet name="Planilha4" sheetId="4" r:id="rId3"/>
    <sheet name="Planilha3" sheetId="3" state="hidden" r:id="rId4"/>
    <sheet name="Planilha2" sheetId="2" state="hidden" r:id="rId5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Z5" i="1"/>
  <c r="Z6" i="1"/>
  <c r="Z7" i="1"/>
  <c r="Z18" i="1"/>
  <c r="Z19" i="1"/>
  <c r="X20" i="1"/>
  <c r="B20" i="1"/>
  <c r="D20" i="1"/>
  <c r="F20" i="1"/>
  <c r="H20" i="1"/>
  <c r="J20" i="1"/>
  <c r="L20" i="1"/>
  <c r="N20" i="1"/>
  <c r="P20" i="1"/>
  <c r="R20" i="1"/>
  <c r="T20" i="1"/>
  <c r="V20" i="1"/>
  <c r="Z20" i="1"/>
  <c r="Z21" i="1"/>
  <c r="Z22" i="1"/>
  <c r="Z23" i="1"/>
  <c r="Z24" i="1"/>
  <c r="Z25" i="1"/>
  <c r="Z26" i="1"/>
  <c r="Z42" i="1"/>
  <c r="Z43" i="1"/>
  <c r="B44" i="1"/>
  <c r="X4" i="1"/>
  <c r="X44" i="1"/>
  <c r="D4" i="1"/>
  <c r="D44" i="1"/>
  <c r="F4" i="1"/>
  <c r="F44" i="1"/>
  <c r="H4" i="1"/>
  <c r="H44" i="1"/>
  <c r="J4" i="1"/>
  <c r="J44" i="1"/>
  <c r="L4" i="1"/>
  <c r="L44" i="1"/>
  <c r="N4" i="1"/>
  <c r="N44" i="1"/>
  <c r="P4" i="1"/>
  <c r="P44" i="1"/>
  <c r="R4" i="1"/>
  <c r="R44" i="1"/>
  <c r="T4" i="1"/>
  <c r="T44" i="1"/>
  <c r="V4" i="1"/>
  <c r="V44" i="1"/>
  <c r="Z44" i="1"/>
  <c r="Z45" i="1"/>
  <c r="B46" i="1"/>
  <c r="X46" i="1"/>
  <c r="D46" i="1"/>
  <c r="F46" i="1"/>
  <c r="H46" i="1"/>
  <c r="J46" i="1"/>
  <c r="L46" i="1"/>
  <c r="N46" i="1"/>
  <c r="P46" i="1"/>
  <c r="R46" i="1"/>
  <c r="T46" i="1"/>
  <c r="V46" i="1"/>
  <c r="Z46" i="1"/>
  <c r="B47" i="1"/>
  <c r="D47" i="1"/>
  <c r="F47" i="1"/>
  <c r="H47" i="1"/>
  <c r="J47" i="1"/>
  <c r="L47" i="1"/>
  <c r="N47" i="1"/>
  <c r="P47" i="1"/>
  <c r="R47" i="1"/>
  <c r="T47" i="1"/>
  <c r="V47" i="1"/>
  <c r="X47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B105" i="1"/>
  <c r="X105" i="1"/>
  <c r="D105" i="1"/>
  <c r="F105" i="1"/>
  <c r="H105" i="1"/>
  <c r="J105" i="1"/>
  <c r="L105" i="1"/>
  <c r="N105" i="1"/>
  <c r="P105" i="1"/>
  <c r="R105" i="1"/>
  <c r="T105" i="1"/>
  <c r="V105" i="1"/>
  <c r="Z105" i="1"/>
  <c r="B106" i="1"/>
  <c r="D106" i="1"/>
  <c r="F106" i="1"/>
  <c r="H106" i="1"/>
  <c r="J106" i="1"/>
  <c r="L106" i="1"/>
  <c r="N106" i="1"/>
  <c r="P106" i="1"/>
  <c r="R106" i="1"/>
  <c r="T106" i="1"/>
  <c r="V106" i="1"/>
  <c r="X106" i="1"/>
  <c r="Z106" i="1"/>
  <c r="Z107" i="1"/>
  <c r="Z108" i="1"/>
  <c r="Z109" i="1"/>
  <c r="Z122" i="1"/>
  <c r="Z123" i="1"/>
  <c r="Z124" i="1"/>
  <c r="B125" i="1"/>
  <c r="X125" i="1"/>
  <c r="D125" i="1"/>
  <c r="F125" i="1"/>
  <c r="H125" i="1"/>
  <c r="J125" i="1"/>
  <c r="L125" i="1"/>
  <c r="N125" i="1"/>
  <c r="P125" i="1"/>
  <c r="R125" i="1"/>
  <c r="T125" i="1"/>
  <c r="V125" i="1"/>
  <c r="Z125" i="1"/>
  <c r="Z4" i="1"/>
  <c r="AA125" i="1"/>
  <c r="AA124" i="1"/>
  <c r="AA123" i="1"/>
  <c r="AA122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26" i="1"/>
  <c r="AA25" i="1"/>
  <c r="AA24" i="1"/>
  <c r="AA23" i="1"/>
  <c r="AA22" i="1"/>
  <c r="AA21" i="1"/>
  <c r="AA20" i="1"/>
  <c r="AA19" i="1"/>
  <c r="AA18" i="1"/>
  <c r="AA7" i="1"/>
  <c r="AA6" i="1"/>
  <c r="AA5" i="1"/>
  <c r="AA4" i="1"/>
  <c r="Y125" i="1"/>
  <c r="Y124" i="1"/>
  <c r="Y123" i="1"/>
  <c r="Y122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26" i="1"/>
  <c r="Y25" i="1"/>
  <c r="Y24" i="1"/>
  <c r="Y23" i="1"/>
  <c r="Y22" i="1"/>
  <c r="Y21" i="1"/>
  <c r="Y20" i="1"/>
  <c r="Y19" i="1"/>
  <c r="Y18" i="1"/>
  <c r="Y7" i="1"/>
  <c r="Y6" i="1"/>
  <c r="Y5" i="1"/>
  <c r="Y4" i="1"/>
  <c r="W125" i="1"/>
  <c r="W124" i="1"/>
  <c r="W123" i="1"/>
  <c r="W122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26" i="1"/>
  <c r="W25" i="1"/>
  <c r="W24" i="1"/>
  <c r="W23" i="1"/>
  <c r="W22" i="1"/>
  <c r="W21" i="1"/>
  <c r="W20" i="1"/>
  <c r="W19" i="1"/>
  <c r="W18" i="1"/>
  <c r="W7" i="1"/>
  <c r="W6" i="1"/>
  <c r="W5" i="1"/>
  <c r="W4" i="1"/>
  <c r="U125" i="1"/>
  <c r="U124" i="1"/>
  <c r="U123" i="1"/>
  <c r="U122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26" i="1"/>
  <c r="U25" i="1"/>
  <c r="U24" i="1"/>
  <c r="U23" i="1"/>
  <c r="U22" i="1"/>
  <c r="U21" i="1"/>
  <c r="U20" i="1"/>
  <c r="U19" i="1"/>
  <c r="U18" i="1"/>
  <c r="U7" i="1"/>
  <c r="U6" i="1"/>
  <c r="U5" i="1"/>
  <c r="U4" i="1"/>
  <c r="S125" i="1"/>
  <c r="S124" i="1"/>
  <c r="S123" i="1"/>
  <c r="S122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26" i="1"/>
  <c r="S25" i="1"/>
  <c r="S24" i="1"/>
  <c r="S23" i="1"/>
  <c r="S22" i="1"/>
  <c r="S21" i="1"/>
  <c r="S20" i="1"/>
  <c r="S19" i="1"/>
  <c r="S18" i="1"/>
  <c r="S7" i="1"/>
  <c r="S6" i="1"/>
  <c r="S5" i="1"/>
  <c r="S4" i="1"/>
  <c r="Q125" i="1"/>
  <c r="Q124" i="1"/>
  <c r="Q123" i="1"/>
  <c r="Q122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26" i="1"/>
  <c r="Q25" i="1"/>
  <c r="Q24" i="1"/>
  <c r="Q23" i="1"/>
  <c r="Q22" i="1"/>
  <c r="Q21" i="1"/>
  <c r="Q20" i="1"/>
  <c r="Q19" i="1"/>
  <c r="Q18" i="1"/>
  <c r="Q7" i="1"/>
  <c r="Q6" i="1"/>
  <c r="Q5" i="1"/>
  <c r="Q4" i="1"/>
  <c r="O125" i="1"/>
  <c r="O124" i="1"/>
  <c r="O123" i="1"/>
  <c r="O122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26" i="1"/>
  <c r="O25" i="1"/>
  <c r="O24" i="1"/>
  <c r="O23" i="1"/>
  <c r="O22" i="1"/>
  <c r="O21" i="1"/>
  <c r="O20" i="1"/>
  <c r="O19" i="1"/>
  <c r="O18" i="1"/>
  <c r="O7" i="1"/>
  <c r="O6" i="1"/>
  <c r="O5" i="1"/>
  <c r="O4" i="1"/>
  <c r="M125" i="1"/>
  <c r="M124" i="1"/>
  <c r="M123" i="1"/>
  <c r="M122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26" i="1"/>
  <c r="M25" i="1"/>
  <c r="M24" i="1"/>
  <c r="M23" i="1"/>
  <c r="M22" i="1"/>
  <c r="M21" i="1"/>
  <c r="M20" i="1"/>
  <c r="M19" i="1"/>
  <c r="M18" i="1"/>
  <c r="M7" i="1"/>
  <c r="M6" i="1"/>
  <c r="M5" i="1"/>
  <c r="M4" i="1"/>
  <c r="K125" i="1"/>
  <c r="K124" i="1"/>
  <c r="K123" i="1"/>
  <c r="K122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26" i="1"/>
  <c r="K25" i="1"/>
  <c r="K24" i="1"/>
  <c r="K23" i="1"/>
  <c r="K22" i="1"/>
  <c r="K21" i="1"/>
  <c r="K20" i="1"/>
  <c r="K19" i="1"/>
  <c r="K18" i="1"/>
  <c r="K7" i="1"/>
  <c r="K6" i="1"/>
  <c r="K5" i="1"/>
  <c r="K4" i="1"/>
  <c r="I125" i="1"/>
  <c r="I124" i="1"/>
  <c r="I123" i="1"/>
  <c r="I122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26" i="1"/>
  <c r="I25" i="1"/>
  <c r="I24" i="1"/>
  <c r="I23" i="1"/>
  <c r="I22" i="1"/>
  <c r="I21" i="1"/>
  <c r="I20" i="1"/>
  <c r="I19" i="1"/>
  <c r="I18" i="1"/>
  <c r="I7" i="1"/>
  <c r="I6" i="1"/>
  <c r="I5" i="1"/>
  <c r="I4" i="1"/>
  <c r="G125" i="1"/>
  <c r="G124" i="1"/>
  <c r="G123" i="1"/>
  <c r="G122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26" i="1"/>
  <c r="G25" i="1"/>
  <c r="G24" i="1"/>
  <c r="G23" i="1"/>
  <c r="G22" i="1"/>
  <c r="G21" i="1"/>
  <c r="G20" i="1"/>
  <c r="G19" i="1"/>
  <c r="G18" i="1"/>
  <c r="G7" i="1"/>
  <c r="G6" i="1"/>
  <c r="G5" i="1"/>
  <c r="G4" i="1"/>
  <c r="E125" i="1"/>
  <c r="E124" i="1"/>
  <c r="E123" i="1"/>
  <c r="E122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26" i="1"/>
  <c r="E25" i="1"/>
  <c r="E24" i="1"/>
  <c r="E23" i="1"/>
  <c r="E22" i="1"/>
  <c r="E21" i="1"/>
  <c r="E20" i="1"/>
  <c r="E19" i="1"/>
  <c r="E18" i="1"/>
  <c r="E7" i="1"/>
  <c r="E6" i="1"/>
  <c r="E5" i="1"/>
  <c r="E4" i="1"/>
  <c r="C125" i="1"/>
  <c r="C124" i="1"/>
  <c r="C123" i="1"/>
  <c r="C122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26" i="1"/>
  <c r="C25" i="1"/>
  <c r="C24" i="1"/>
  <c r="C23" i="1"/>
  <c r="C22" i="1"/>
  <c r="C21" i="1"/>
  <c r="C20" i="1"/>
  <c r="C19" i="1"/>
  <c r="C18" i="1"/>
  <c r="C7" i="1"/>
  <c r="C6" i="1"/>
  <c r="C5" i="1"/>
  <c r="C4" i="1"/>
</calcChain>
</file>

<file path=xl/sharedStrings.xml><?xml version="1.0" encoding="utf-8"?>
<sst xmlns="http://schemas.openxmlformats.org/spreadsheetml/2006/main" count="116" uniqueCount="116">
  <si>
    <t>Receita Bruta total</t>
  </si>
  <si>
    <t>Despesas variáveis</t>
  </si>
  <si>
    <t>Receita Líquida</t>
  </si>
  <si>
    <t>Custo da Mercadoria Vendida (CMV)</t>
  </si>
  <si>
    <t>Janeiro</t>
  </si>
  <si>
    <t>Despesas Fixas</t>
  </si>
  <si>
    <t>Lucro Bruto (R$)</t>
  </si>
  <si>
    <t>Investimentos</t>
  </si>
  <si>
    <t>Lucro Líquido</t>
  </si>
  <si>
    <t>Margem de Contribuição Bruta</t>
  </si>
  <si>
    <t>Fevereiro</t>
  </si>
  <si>
    <t>Março</t>
  </si>
  <si>
    <t>Material expediente e escritório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</si>
  <si>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</si>
  <si>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</si>
  <si>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</si>
  <si>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</si>
  <si>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</si>
  <si>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</si>
  <si>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</si>
  <si>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</si>
  <si>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</si>
  <si>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</si>
  <si>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Demonstrativo de Resultado de Exercício</t>
  </si>
  <si>
    <t>DRE</t>
  </si>
  <si>
    <t xml:space="preserve">Vale alimentação </t>
  </si>
  <si>
    <t xml:space="preserve">Material construção </t>
  </si>
  <si>
    <t>Taxas de Manutenção</t>
  </si>
  <si>
    <t xml:space="preserve">Taxas de Sepultamento </t>
  </si>
  <si>
    <t>Placas de Bronze</t>
  </si>
  <si>
    <t>salario colaboradores</t>
  </si>
  <si>
    <t>fgts/gps/simples/darf</t>
  </si>
  <si>
    <t>seguranças</t>
  </si>
  <si>
    <t>ração caes</t>
  </si>
  <si>
    <t>jardineiro</t>
  </si>
  <si>
    <t>faxineira</t>
  </si>
  <si>
    <t>telefonia</t>
  </si>
  <si>
    <t>internet</t>
  </si>
  <si>
    <t>contabilidade</t>
  </si>
  <si>
    <t>alarme monitoramento</t>
  </si>
  <si>
    <t>iptu</t>
  </si>
  <si>
    <t xml:space="preserve">tx policia </t>
  </si>
  <si>
    <t>publicidade</t>
  </si>
  <si>
    <t>softer</t>
  </si>
  <si>
    <t>mecanico carros</t>
  </si>
  <si>
    <t>desinfetantes</t>
  </si>
  <si>
    <t>frete</t>
  </si>
  <si>
    <t>pabx</t>
  </si>
  <si>
    <t>maquinas</t>
  </si>
  <si>
    <t>Celular</t>
  </si>
  <si>
    <t>fundição</t>
  </si>
  <si>
    <t>tintas/ PINTOR</t>
  </si>
  <si>
    <t>material epis</t>
  </si>
  <si>
    <t>caçamba</t>
  </si>
  <si>
    <t xml:space="preserve">correio </t>
  </si>
  <si>
    <t>prolabore socia diretora</t>
  </si>
  <si>
    <t xml:space="preserve">pronampe financiamento </t>
  </si>
  <si>
    <t xml:space="preserve">FÉRIAS </t>
  </si>
  <si>
    <t>TARIFAS CARTORIO</t>
  </si>
  <si>
    <t xml:space="preserve">TARIFAS COBRANÇA BOLETOS </t>
  </si>
  <si>
    <t>mecanico maquinas</t>
  </si>
  <si>
    <t>Cartuchos</t>
  </si>
  <si>
    <t>TARIFA PIX</t>
  </si>
  <si>
    <t>bebedouro / agua</t>
  </si>
  <si>
    <t xml:space="preserve">TRANSTERRA Gradil/ retrocavadeira </t>
  </si>
  <si>
    <t xml:space="preserve">honorario administrativo </t>
  </si>
  <si>
    <t>gramas/ adubos</t>
  </si>
  <si>
    <t xml:space="preserve">tarifas bancarias </t>
  </si>
  <si>
    <t>PROGRAMA GERENCIAMENTO RISCO</t>
  </si>
  <si>
    <t xml:space="preserve">GASOLINA  </t>
  </si>
  <si>
    <t>material hidraulico  eletrico</t>
  </si>
  <si>
    <t xml:space="preserve">madeiras / TELAS </t>
  </si>
  <si>
    <t xml:space="preserve">Acordo taxas atrasadas </t>
  </si>
  <si>
    <t>anuidades /semestralidades</t>
  </si>
  <si>
    <t xml:space="preserve">RECEBIMENTOS ESCRITORIO </t>
  </si>
  <si>
    <t xml:space="preserve">funeraria </t>
  </si>
  <si>
    <t xml:space="preserve">CONDOMINIO </t>
  </si>
  <si>
    <t xml:space="preserve">13 SALARIO COLABORADORES </t>
  </si>
  <si>
    <t xml:space="preserve">CPFL ENERGIA </t>
  </si>
  <si>
    <t xml:space="preserve">LICENÇA CARRO MOTO E FIESTA </t>
  </si>
  <si>
    <t>MARMORARIA LAPIDES</t>
  </si>
  <si>
    <t>IPVA CARROS</t>
  </si>
  <si>
    <t>medicos</t>
  </si>
  <si>
    <t xml:space="preserve">ELETRECISTA </t>
  </si>
  <si>
    <t xml:space="preserve">MERCADO /FARMACIA </t>
  </si>
  <si>
    <t xml:space="preserve">limpa fossa alcatec </t>
  </si>
  <si>
    <t>Taxas de inumação</t>
  </si>
  <si>
    <t xml:space="preserve">lapide de  granito </t>
  </si>
  <si>
    <t>AQUISIÇÃO MOVEIS armario</t>
  </si>
  <si>
    <t>Compra de MOVEIS mesas</t>
  </si>
  <si>
    <t>caixa ossos / SACOS OSSOS</t>
  </si>
  <si>
    <t>SEGURO CARRO</t>
  </si>
  <si>
    <t xml:space="preserve">SEGURO VIDA FUNCIONARIOS </t>
  </si>
  <si>
    <t>SEGURO ESCRITORIO</t>
  </si>
  <si>
    <t>DEDETIZAÇAO</t>
  </si>
  <si>
    <t>EXAME PERIODICO/CENTRAL SEG</t>
  </si>
  <si>
    <t xml:space="preserve">documentos veiculos </t>
  </si>
  <si>
    <t>ADVOGADO</t>
  </si>
  <si>
    <t xml:space="preserve">uniformes esportivos </t>
  </si>
  <si>
    <t>]</t>
  </si>
  <si>
    <t xml:space="preserve">Poço monitoramento / FOSSA </t>
  </si>
  <si>
    <t xml:space="preserve">aquecedor gaz </t>
  </si>
  <si>
    <t xml:space="preserve">vendas  JAZIGOS HUMANOS </t>
  </si>
  <si>
    <t>DESPESAS MEDICA/  FISIO</t>
  </si>
  <si>
    <t>cavalete de urnas granito</t>
  </si>
  <si>
    <t xml:space="preserve">TELAS E MOUROES </t>
  </si>
  <si>
    <t xml:space="preserve">emergencial reparos </t>
  </si>
  <si>
    <t>VENDAS LOCULOS PET / cremação</t>
  </si>
  <si>
    <t xml:space="preserve">CONCERTINA </t>
  </si>
  <si>
    <t xml:space="preserve">treliça e lajota </t>
  </si>
  <si>
    <t>COMPRESSOR PINTURA</t>
  </si>
  <si>
    <t xml:space="preserve">bebedouro industrial </t>
  </si>
  <si>
    <t xml:space="preserve">BEBEDOURO INDUSTRIAL </t>
  </si>
  <si>
    <t>CARTAO CREDITO FATURA MENSAL</t>
  </si>
  <si>
    <t>INSTALAÇAO CENTRAL TELEFONICA</t>
  </si>
  <si>
    <t xml:space="preserve">geladeira escritorio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</si>
</sst>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60"/>
      <color rgb="FF007F8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F73"/>
        <bgColor indexed="64"/>
      </patternFill>
    </fill>
    <fill>
      <patternFill patternType="solid">
        <fgColor rgb="FF99FFE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2" xfId="0" applyFont="1" applyBorder="1"/>
    <xf numFmtId="44" fontId="2" fillId="0" borderId="2" xfId="0" applyNumberFormat="1" applyFont="1" applyBorder="1"/>
    <xf numFmtId="44" fontId="2" fillId="0" borderId="2" xfId="1" applyFont="1" applyBorder="1"/>
    <xf numFmtId="44" fontId="2" fillId="0" borderId="10" xfId="0" applyNumberFormat="1" applyFont="1" applyBorder="1"/>
    <xf numFmtId="44" fontId="5" fillId="2" borderId="0" xfId="0" applyNumberFormat="1" applyFont="1" applyFill="1"/>
    <xf numFmtId="10" fontId="0" fillId="0" borderId="11" xfId="2" applyNumberFormat="1" applyFont="1" applyBorder="1" applyAlignment="1">
      <alignment horizontal="center"/>
    </xf>
    <xf numFmtId="10" fontId="2" fillId="0" borderId="11" xfId="2" applyNumberFormat="1" applyFont="1" applyBorder="1" applyAlignment="1">
      <alignment horizontal="center"/>
    </xf>
    <xf numFmtId="10" fontId="2" fillId="0" borderId="4" xfId="2" applyNumberFormat="1" applyFont="1" applyBorder="1" applyAlignment="1">
      <alignment horizontal="center"/>
    </xf>
    <xf numFmtId="10" fontId="0" fillId="0" borderId="6" xfId="2" applyNumberFormat="1" applyFont="1" applyBorder="1" applyAlignment="1">
      <alignment horizontal="center"/>
    </xf>
    <xf numFmtId="10" fontId="0" fillId="0" borderId="9" xfId="2" applyNumberFormat="1" applyFont="1" applyBorder="1" applyAlignment="1">
      <alignment horizontal="center"/>
    </xf>
    <xf numFmtId="10" fontId="5" fillId="2" borderId="0" xfId="2" applyNumberFormat="1" applyFont="1" applyFill="1" applyAlignment="1">
      <alignment horizontal="center"/>
    </xf>
    <xf numFmtId="0" fontId="2" fillId="0" borderId="12" xfId="0" applyFont="1" applyBorder="1"/>
    <xf numFmtId="0" fontId="2" fillId="0" borderId="1" xfId="0" applyFont="1" applyBorder="1"/>
    <xf numFmtId="0" fontId="5" fillId="2" borderId="1" xfId="0" applyFont="1" applyFill="1" applyBorder="1"/>
    <xf numFmtId="44" fontId="0" fillId="0" borderId="5" xfId="0" applyNumberFormat="1" applyBorder="1"/>
    <xf numFmtId="44" fontId="0" fillId="0" borderId="7" xfId="0" applyNumberFormat="1" applyBorder="1"/>
    <xf numFmtId="10" fontId="0" fillId="0" borderId="11" xfId="2" applyNumberFormat="1" applyFont="1" applyFill="1" applyBorder="1" applyAlignment="1">
      <alignment horizontal="center"/>
    </xf>
    <xf numFmtId="10" fontId="2" fillId="0" borderId="11" xfId="2" applyNumberFormat="1" applyFont="1" applyFill="1" applyBorder="1" applyAlignment="1">
      <alignment horizontal="center"/>
    </xf>
    <xf numFmtId="10" fontId="2" fillId="0" borderId="4" xfId="2" applyNumberFormat="1" applyFont="1" applyFill="1" applyBorder="1" applyAlignment="1">
      <alignment horizontal="center"/>
    </xf>
    <xf numFmtId="10" fontId="0" fillId="0" borderId="6" xfId="2" applyNumberFormat="1" applyFont="1" applyFill="1" applyBorder="1" applyAlignment="1">
      <alignment horizontal="center"/>
    </xf>
    <xf numFmtId="10" fontId="0" fillId="0" borderId="9" xfId="2" applyNumberFormat="1" applyFont="1" applyFill="1" applyBorder="1" applyAlignment="1">
      <alignment horizontal="center"/>
    </xf>
    <xf numFmtId="10" fontId="0" fillId="0" borderId="15" xfId="2" applyNumberFormat="1" applyFont="1" applyFill="1" applyBorder="1" applyAlignment="1">
      <alignment horizontal="center"/>
    </xf>
    <xf numFmtId="10" fontId="2" fillId="0" borderId="15" xfId="2" applyNumberFormat="1" applyFont="1" applyFill="1" applyBorder="1" applyAlignment="1">
      <alignment horizontal="center"/>
    </xf>
    <xf numFmtId="10" fontId="2" fillId="0" borderId="3" xfId="2" applyNumberFormat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10" fontId="0" fillId="0" borderId="8" xfId="2" applyNumberFormat="1" applyFont="1" applyFill="1" applyBorder="1" applyAlignment="1">
      <alignment horizontal="center"/>
    </xf>
    <xf numFmtId="0" fontId="0" fillId="3" borderId="5" xfId="0" applyFill="1" applyBorder="1" applyProtection="1">
      <protection locked="0"/>
    </xf>
    <xf numFmtId="44" fontId="0" fillId="3" borderId="5" xfId="1" applyFont="1" applyFill="1" applyBorder="1" applyProtection="1">
      <protection locked="0"/>
    </xf>
    <xf numFmtId="0" fontId="0" fillId="3" borderId="7" xfId="0" applyFill="1" applyBorder="1" applyProtection="1">
      <protection locked="0"/>
    </xf>
    <xf numFmtId="44" fontId="0" fillId="3" borderId="7" xfId="1" applyFont="1" applyFill="1" applyBorder="1" applyProtection="1">
      <protection locked="0"/>
    </xf>
    <xf numFmtId="0" fontId="0" fillId="3" borderId="13" xfId="0" applyFill="1" applyBorder="1" applyProtection="1">
      <protection locked="0"/>
    </xf>
    <xf numFmtId="0" fontId="0" fillId="3" borderId="14" xfId="0" applyFill="1" applyBorder="1" applyProtection="1">
      <protection locked="0"/>
    </xf>
    <xf numFmtId="44" fontId="0" fillId="3" borderId="10" xfId="1" applyFont="1" applyFill="1" applyBorder="1" applyProtection="1">
      <protection locked="0"/>
    </xf>
    <xf numFmtId="0" fontId="0" fillId="3" borderId="0" xfId="0" applyFill="1" applyProtection="1">
      <protection locked="0"/>
    </xf>
    <xf numFmtId="0" fontId="3" fillId="2" borderId="1" xfId="0" applyFont="1" applyFill="1" applyBorder="1"/>
    <xf numFmtId="0" fontId="0" fillId="0" borderId="0" xfId="0" applyProtection="1">
      <protection locked="0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99FFE1"/>
      <color rgb="FF00E6B8"/>
      <color rgb="FF007F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25"/>
  <sheetViews>
    <sheetView tabSelected="1" view="pageLayout" topLeftCell="T24" zoomScale="69" zoomScaleNormal="78" zoomScaleSheetLayoutView="84" zoomScalePageLayoutView="69" workbookViewId="0">
      <selection activeCell="X24" sqref="X24"/>
    </sheetView>
  </sheetViews>
  <sheetFormatPr defaultColWidth="11.25" defaultRowHeight="15.75" x14ac:dyDescent="0.25"/>
  <cols>
    <col min="1" max="1" width="31.25" bestFit="1" customWidth="1"/>
    <col min="2" max="2" width="24.75" bestFit="1" customWidth="1"/>
    <col min="3" max="3" width="9.75" style="2" customWidth="1"/>
    <col min="4" max="4" width="24.75" bestFit="1" customWidth="1"/>
    <col min="5" max="5" width="9.75" style="2" customWidth="1"/>
    <col min="6" max="6" width="21.5" bestFit="1" customWidth="1"/>
    <col min="7" max="7" width="9.75" style="2" customWidth="1"/>
    <col min="8" max="8" width="24.75" bestFit="1" customWidth="1"/>
    <col min="9" max="9" width="9.75" style="2" customWidth="1"/>
    <col min="10" max="10" width="24.75" bestFit="1" customWidth="1"/>
    <col min="11" max="11" width="9.75" style="2" customWidth="1"/>
    <col min="12" max="12" width="24.75" bestFit="1" customWidth="1"/>
    <col min="13" max="13" width="9.75" style="2" customWidth="1"/>
    <col min="14" max="14" width="24.75" bestFit="1" customWidth="1"/>
    <col min="15" max="15" width="9.75" style="2" customWidth="1"/>
    <col min="16" max="16" width="24.75" bestFit="1" customWidth="1"/>
    <col min="17" max="17" width="9.75" style="2" customWidth="1"/>
    <col min="18" max="18" width="24.75" bestFit="1" customWidth="1"/>
    <col min="19" max="19" width="9.75" style="2" customWidth="1"/>
    <col min="20" max="20" width="24.75" bestFit="1" customWidth="1"/>
    <col min="21" max="21" width="9.75" style="2" customWidth="1"/>
    <col min="22" max="22" width="24.75" bestFit="1" customWidth="1"/>
    <col min="23" max="23" width="9.75" style="2" customWidth="1"/>
    <col min="24" max="24" width="24.75" bestFit="1" customWidth="1"/>
    <col min="25" max="25" width="9.75" style="2" customWidth="1"/>
    <col min="26" max="26" width="27" customWidth="1"/>
    <col min="27" max="27" width="9.75" style="2" customWidth="1"/>
  </cols>
  <sheetData>
    <row r="1" spans="1:27" ht="88.15" customHeight="1" x14ac:dyDescent="1.1000000000000001">
      <c r="B1" s="41" t="s">
        <v>23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3" spans="1:27" ht="28.5" x14ac:dyDescent="0.45">
      <c r="A3" s="37" t="s">
        <v>24</v>
      </c>
      <c r="B3" s="39" t="s">
        <v>4</v>
      </c>
      <c r="C3" s="40"/>
      <c r="D3" s="39" t="s">
        <v>10</v>
      </c>
      <c r="E3" s="40"/>
      <c r="F3" s="39" t="s">
        <v>11</v>
      </c>
      <c r="G3" s="40"/>
      <c r="H3" s="39" t="s">
        <v>13</v>
      </c>
      <c r="I3" s="40"/>
      <c r="J3" s="39" t="s">
        <v>14</v>
      </c>
      <c r="K3" s="40"/>
      <c r="L3" s="39" t="s">
        <v>15</v>
      </c>
      <c r="M3" s="40"/>
      <c r="N3" s="39" t="s">
        <v>16</v>
      </c>
      <c r="O3" s="40"/>
      <c r="P3" s="39" t="s">
        <v>17</v>
      </c>
      <c r="Q3" s="40"/>
      <c r="R3" s="39" t="s">
        <v>18</v>
      </c>
      <c r="S3" s="40"/>
      <c r="T3" s="39" t="s">
        <v>19</v>
      </c>
      <c r="U3" s="40"/>
      <c r="V3" s="39" t="s">
        <v>20</v>
      </c>
      <c r="W3" s="40"/>
      <c r="X3" s="39" t="s">
        <v>21</v>
      </c>
      <c r="Y3" s="40"/>
      <c r="Z3" s="39" t="s">
        <v>22</v>
      </c>
      <c r="AA3" s="40"/>
    </row>
    <row r="4" spans="1:27" s="1" customFormat="1" x14ac:dyDescent="0.25">
      <c r="A4" s="3" t="s">
        <v>0</v>
      </c>
      <c r="B4" s="4">
        <f>SUM(B5:B19)</f>
        <v>222926.64</v>
      </c>
      <c r="C4" s="10">
        <f t="shared" ref="C4:C60" si="0">IFERROR(B4/B$4,"")</f>
        <v>1</v>
      </c>
      <c r="D4" s="4">
        <f>SUM(D5:D19)</f>
        <v>138864.14000000001</v>
      </c>
      <c r="E4" s="21">
        <f t="shared" ref="E4:E60" si="1">IFERROR(D4/D$4,"")</f>
        <v>1</v>
      </c>
      <c r="F4" s="4">
        <f>SUM(F5:F19)</f>
        <v>119833.13</v>
      </c>
      <c r="G4" s="21">
        <f t="shared" ref="G4:G60" si="2">IFERROR(F4/F$4,"")</f>
        <v>1</v>
      </c>
      <c r="H4" s="4">
        <f>SUM(H5:H19)</f>
        <v>113831.1</v>
      </c>
      <c r="I4" s="21">
        <f t="shared" ref="I4:I60" si="3">IFERROR(H4/H$4,"")</f>
        <v>1</v>
      </c>
      <c r="J4" s="4">
        <f>SUM(J5:J19)</f>
        <v>124028.28</v>
      </c>
      <c r="K4" s="21">
        <f t="shared" ref="K4:K60" si="4">IFERROR(J4/J$4,"")</f>
        <v>1</v>
      </c>
      <c r="L4" s="4">
        <f>SUM(L5:L19)</f>
        <v>133372.07</v>
      </c>
      <c r="M4" s="21">
        <f t="shared" ref="M4:M60" si="5">IFERROR(L4/L$4,"")</f>
        <v>1</v>
      </c>
      <c r="N4" s="4">
        <f>SUM(N5:N19)</f>
        <v>127352.5</v>
      </c>
      <c r="O4" s="21">
        <f t="shared" ref="O4:O60" si="6">IFERROR(N4/N$4,"")</f>
        <v>1</v>
      </c>
      <c r="P4" s="4">
        <f>SUM(P5:P19)</f>
        <v>115846.67</v>
      </c>
      <c r="Q4" s="21">
        <f t="shared" ref="Q4:Q60" si="7">IFERROR(P4/P$4,"")</f>
        <v>1</v>
      </c>
      <c r="R4" s="4">
        <f>SUM(R5:R19)</f>
        <v>124162.16</v>
      </c>
      <c r="S4" s="10">
        <f t="shared" ref="S4:S60" si="8">IFERROR(R4/R$4,"")</f>
        <v>1</v>
      </c>
      <c r="T4" s="4">
        <f>SUM(T5:T19)</f>
        <v>119432.29999999999</v>
      </c>
      <c r="U4" s="21">
        <f t="shared" ref="U4:U60" si="9">IFERROR(T4/T$4,"")</f>
        <v>1</v>
      </c>
      <c r="V4" s="4">
        <f>SUM(V5:V19)</f>
        <v>116962</v>
      </c>
      <c r="W4" s="21">
        <f t="shared" ref="W4:W60" si="10">IFERROR(V4/V$4,"")</f>
        <v>1</v>
      </c>
      <c r="X4" s="4">
        <f>SUM(X5:X19)</f>
        <v>164591.13</v>
      </c>
      <c r="Y4" s="26">
        <f t="shared" ref="Y4:Y60" si="11">IFERROR(X4/X$4,"")</f>
        <v>1</v>
      </c>
      <c r="Z4" s="4">
        <f>B4+D4+F4+H4+J4+L4+N4+P4+R4+T4+V4+X4</f>
        <v>1621202.12</v>
      </c>
      <c r="AA4" s="10">
        <f t="shared" ref="AA4:AA60" si="12">IFERROR(Z4/Z$4,"")</f>
        <v>1</v>
      </c>
    </row>
    <row r="5" spans="1:27" x14ac:dyDescent="0.25">
      <c r="A5" s="29" t="s">
        <v>27</v>
      </c>
      <c r="B5" s="30">
        <v>98808.639999999999</v>
      </c>
      <c r="C5" s="22">
        <f>IFERROR(B5/B$4,"")</f>
        <v>0.44323388178281425</v>
      </c>
      <c r="D5" s="30">
        <v>96689.14</v>
      </c>
      <c r="E5" s="22">
        <f>IFERROR(D5/D$4,"")</f>
        <v>0.69628588057363106</v>
      </c>
      <c r="F5" s="30">
        <v>96379.13</v>
      </c>
      <c r="G5" s="22">
        <f t="shared" si="2"/>
        <v>0.8042778320152365</v>
      </c>
      <c r="H5" s="30">
        <v>95555.1</v>
      </c>
      <c r="I5" s="22">
        <f t="shared" si="3"/>
        <v>0.83944633760018128</v>
      </c>
      <c r="J5" s="30">
        <v>96296.28</v>
      </c>
      <c r="K5" s="22">
        <f t="shared" si="4"/>
        <v>0.77640583260527352</v>
      </c>
      <c r="L5" s="30">
        <v>96855.07</v>
      </c>
      <c r="M5" s="22">
        <f t="shared" si="5"/>
        <v>0.72620204515083253</v>
      </c>
      <c r="N5" s="30">
        <v>89948</v>
      </c>
      <c r="O5" s="22">
        <f t="shared" si="6"/>
        <v>0.70629159223415328</v>
      </c>
      <c r="P5" s="30">
        <v>96546.67</v>
      </c>
      <c r="Q5" s="22">
        <f t="shared" si="7"/>
        <v>0.83340047668180706</v>
      </c>
      <c r="R5" s="30">
        <v>95607.2</v>
      </c>
      <c r="S5" s="22">
        <f t="shared" si="8"/>
        <v>0.77001882054886928</v>
      </c>
      <c r="T5" s="30">
        <v>93273.12</v>
      </c>
      <c r="U5" s="22">
        <f t="shared" si="9"/>
        <v>0.78097064194526944</v>
      </c>
      <c r="V5" s="30">
        <v>93320</v>
      </c>
      <c r="W5" s="22">
        <f t="shared" si="10"/>
        <v>0.79786597356406352</v>
      </c>
      <c r="X5" s="30">
        <v>147954.13</v>
      </c>
      <c r="Y5" s="27">
        <f t="shared" si="11"/>
        <v>0.89891921879386816</v>
      </c>
      <c r="Z5" s="17">
        <f>B5+D5+F5+H5+J5+L5+N5+P5+R5+T5+V5+X5</f>
        <v>1197232.48</v>
      </c>
      <c r="AA5" s="11">
        <f t="shared" si="12"/>
        <v>0.73848440316621344</v>
      </c>
    </row>
    <row r="6" spans="1:27" x14ac:dyDescent="0.25">
      <c r="A6" s="29" t="s">
        <v>28</v>
      </c>
      <c r="B6" s="30">
        <v>0</v>
      </c>
      <c r="C6" s="22">
        <f>IFERROR(B6/B$4,"")</f>
        <v>0</v>
      </c>
      <c r="D6" s="30">
        <v>5064</v>
      </c>
      <c r="E6" s="22">
        <f>IFERROR(D6/D$4,"")</f>
        <v>3.6467298180797428E-2</v>
      </c>
      <c r="F6" s="30">
        <v>8142</v>
      </c>
      <c r="G6" s="22">
        <f t="shared" si="2"/>
        <v>6.7944482464907655E-2</v>
      </c>
      <c r="H6" s="30">
        <v>4780</v>
      </c>
      <c r="I6" s="22">
        <f t="shared" si="3"/>
        <v>4.1992039082465162E-2</v>
      </c>
      <c r="J6" s="30">
        <v>8600</v>
      </c>
      <c r="K6" s="22">
        <f t="shared" si="4"/>
        <v>6.9339024938505966E-2</v>
      </c>
      <c r="L6" s="30">
        <v>2820</v>
      </c>
      <c r="M6" s="22">
        <f t="shared" si="5"/>
        <v>2.1143857180892522E-2</v>
      </c>
      <c r="N6" s="30">
        <v>7796</v>
      </c>
      <c r="O6" s="22">
        <f t="shared" si="6"/>
        <v>6.1215916452366466E-2</v>
      </c>
      <c r="P6" s="30">
        <v>6670</v>
      </c>
      <c r="Q6" s="22">
        <f t="shared" si="7"/>
        <v>5.7576104690795167E-2</v>
      </c>
      <c r="R6" s="30">
        <v>7590</v>
      </c>
      <c r="S6" s="22">
        <f t="shared" si="8"/>
        <v>6.1129735500735485E-2</v>
      </c>
      <c r="T6" s="30">
        <v>7400</v>
      </c>
      <c r="U6" s="22">
        <f t="shared" si="9"/>
        <v>6.1959788097524712E-2</v>
      </c>
      <c r="V6" s="30">
        <v>3810</v>
      </c>
      <c r="W6" s="22">
        <f t="shared" si="10"/>
        <v>3.2574682375472376E-2</v>
      </c>
      <c r="X6" s="30">
        <v>960</v>
      </c>
      <c r="Y6" s="27">
        <f t="shared" si="11"/>
        <v>5.8326350879297079E-3</v>
      </c>
      <c r="Z6" s="17">
        <f>B6+D6+F6+H6+J6+L6+N6+P6+R6+T6+V6+X6</f>
        <v>63632</v>
      </c>
      <c r="AA6" s="11">
        <f t="shared" si="12"/>
        <v>3.9249886991265463E-2</v>
      </c>
    </row>
    <row r="7" spans="1:27" x14ac:dyDescent="0.25">
      <c r="A7" s="29">
        <v>0</v>
      </c>
      <c r="B7" s="30">
        <v>0</v>
      </c>
      <c r="C7" s="22">
        <f>IFERROR(B7/B$4,"")</f>
        <v>0</v>
      </c>
      <c r="D7" s="30">
        <v>960</v>
      </c>
      <c r="E7" s="22">
        <f>IFERROR(D7/D$4,"")</f>
        <v>6.9132318826156261E-3</v>
      </c>
      <c r="F7" s="30">
        <v>3375</v>
      </c>
      <c r="G7" s="22">
        <f t="shared" si="2"/>
        <v>2.816416461791493E-2</v>
      </c>
      <c r="H7" s="30">
        <v>0</v>
      </c>
      <c r="I7" s="22">
        <f t="shared" si="3"/>
        <v>0</v>
      </c>
      <c r="J7" s="30">
        <v>0</v>
      </c>
      <c r="K7" s="22">
        <f t="shared" si="4"/>
        <v>0</v>
      </c>
      <c r="L7" s="30">
        <v>960</v>
      </c>
      <c r="M7" s="22">
        <f t="shared" si="5"/>
        <v>7.1979088275378788E-3</v>
      </c>
      <c r="N7" s="38">
        <v>1460</v>
      </c>
      <c r="O7" s="22">
        <f>IFERROR(P8/N$4,"")</f>
        <v>0</v>
      </c>
      <c r="P7" s="30">
        <v>3580</v>
      </c>
      <c r="Q7" s="22">
        <f t="shared" si="7"/>
        <v>3.0902916760576719E-2</v>
      </c>
      <c r="R7" s="30">
        <v>0</v>
      </c>
      <c r="S7" s="22">
        <f t="shared" si="8"/>
        <v>0</v>
      </c>
      <c r="T7" s="30">
        <v>2399</v>
      </c>
      <c r="U7" s="22">
        <f t="shared" si="9"/>
        <v>2.0086693465670512E-2</v>
      </c>
      <c r="V7" s="30">
        <v>0</v>
      </c>
      <c r="W7" s="22">
        <f t="shared" si="10"/>
        <v>0</v>
      </c>
      <c r="X7" s="30"/>
      <c r="Y7" s="27">
        <f t="shared" si="11"/>
        <v>0</v>
      </c>
      <c r="Z7" s="17">
        <f>B7+D7+F7+H7+J7+L7+P8+P7+R7+T7+V7+X7</f>
        <v>11274</v>
      </c>
      <c r="AA7" s="11">
        <f t="shared" si="12"/>
        <v>6.9540989744079533E-3</v>
      </c>
    </row>
    <row r="8" spans="1:27" x14ac:dyDescent="0.25">
      <c r="A8" s="29" t="s">
        <v>86</v>
      </c>
      <c r="B8" s="30">
        <v>0</v>
      </c>
      <c r="C8" s="22"/>
      <c r="D8" s="30">
        <v>864</v>
      </c>
      <c r="E8" s="22"/>
      <c r="F8" s="30">
        <v>4360</v>
      </c>
      <c r="G8" s="22"/>
      <c r="H8" s="30">
        <v>1440</v>
      </c>
      <c r="I8" s="22"/>
      <c r="J8" s="30">
        <v>5500</v>
      </c>
      <c r="K8" s="22"/>
      <c r="L8" s="30">
        <v>3098</v>
      </c>
      <c r="M8" s="22"/>
      <c r="N8" s="30">
        <v>4680</v>
      </c>
      <c r="O8" s="22"/>
      <c r="P8" s="30">
        <v>0</v>
      </c>
      <c r="Q8" s="22"/>
      <c r="R8" s="30">
        <v>0</v>
      </c>
      <c r="S8" s="22"/>
      <c r="T8" s="30">
        <v>3200</v>
      </c>
      <c r="U8" s="22"/>
      <c r="V8" s="30">
        <v>1920</v>
      </c>
      <c r="W8" s="22"/>
      <c r="X8" s="30"/>
      <c r="Y8" s="27"/>
      <c r="Z8" s="17"/>
      <c r="AA8" s="11"/>
    </row>
    <row r="9" spans="1:27" x14ac:dyDescent="0.25">
      <c r="A9" s="29" t="s">
        <v>29</v>
      </c>
      <c r="B9" s="30">
        <v>540</v>
      </c>
      <c r="C9" s="22"/>
      <c r="D9" s="30">
        <v>986</v>
      </c>
      <c r="E9" s="22"/>
      <c r="F9" s="30">
        <v>1362</v>
      </c>
      <c r="G9" s="22"/>
      <c r="H9" s="30">
        <v>0</v>
      </c>
      <c r="I9" s="22"/>
      <c r="J9" s="30">
        <v>806</v>
      </c>
      <c r="K9" s="22"/>
      <c r="L9" s="30">
        <v>438</v>
      </c>
      <c r="M9" s="22"/>
      <c r="N9" s="30">
        <v>698</v>
      </c>
      <c r="O9" s="22"/>
      <c r="P9" s="30">
        <v>1176</v>
      </c>
      <c r="Q9" s="22"/>
      <c r="R9" s="30">
        <v>344</v>
      </c>
      <c r="S9" s="22"/>
      <c r="T9" s="30">
        <v>1023</v>
      </c>
      <c r="U9" s="22"/>
      <c r="V9" s="30">
        <v>768</v>
      </c>
      <c r="W9" s="22"/>
      <c r="X9" s="30"/>
      <c r="Y9" s="27"/>
      <c r="Z9" s="17"/>
      <c r="AA9" s="11"/>
    </row>
    <row r="10" spans="1:27" x14ac:dyDescent="0.25">
      <c r="A10" s="29" t="s">
        <v>72</v>
      </c>
      <c r="B10" s="30">
        <v>4922</v>
      </c>
      <c r="C10" s="22"/>
      <c r="D10" s="30">
        <v>4445</v>
      </c>
      <c r="E10" s="22"/>
      <c r="F10" s="30">
        <v>1394</v>
      </c>
      <c r="G10" s="22"/>
      <c r="H10" s="30">
        <v>1346</v>
      </c>
      <c r="I10" s="22"/>
      <c r="J10" s="30">
        <v>309</v>
      </c>
      <c r="K10" s="22"/>
      <c r="L10" s="30">
        <v>4400</v>
      </c>
      <c r="M10" s="22"/>
      <c r="N10" s="30">
        <v>13833</v>
      </c>
      <c r="O10" s="22"/>
      <c r="P10" s="30">
        <v>900</v>
      </c>
      <c r="Q10" s="22"/>
      <c r="R10" s="30">
        <v>2025.46</v>
      </c>
      <c r="S10" s="22"/>
      <c r="T10" s="30">
        <v>1915.18</v>
      </c>
      <c r="U10" s="22"/>
      <c r="V10" s="30"/>
      <c r="W10" s="22"/>
      <c r="X10" s="30">
        <v>500</v>
      </c>
      <c r="Y10" s="27"/>
      <c r="Z10" s="17"/>
      <c r="AA10" s="11"/>
    </row>
    <row r="11" spans="1:27" x14ac:dyDescent="0.25">
      <c r="A11" s="29" t="s">
        <v>87</v>
      </c>
      <c r="B11" s="30">
        <v>0</v>
      </c>
      <c r="C11" s="22"/>
      <c r="D11" s="30">
        <v>1030</v>
      </c>
      <c r="E11" s="22"/>
      <c r="F11" s="30">
        <v>1530</v>
      </c>
      <c r="G11" s="22"/>
      <c r="H11" s="30">
        <v>1010</v>
      </c>
      <c r="I11" s="22"/>
      <c r="J11" s="30">
        <v>342</v>
      </c>
      <c r="K11" s="22"/>
      <c r="L11" s="30">
        <v>1060</v>
      </c>
      <c r="M11" s="22"/>
      <c r="N11" s="30">
        <v>1060</v>
      </c>
      <c r="O11" s="22"/>
      <c r="P11" s="30"/>
      <c r="Q11" s="22"/>
      <c r="R11" s="30">
        <v>1060</v>
      </c>
      <c r="S11" s="22"/>
      <c r="T11" s="30">
        <v>1060</v>
      </c>
      <c r="U11" s="22"/>
      <c r="V11" s="30">
        <v>3180</v>
      </c>
      <c r="W11" s="22"/>
      <c r="X11" s="30">
        <v>430</v>
      </c>
      <c r="Y11" s="27"/>
      <c r="Z11" s="17"/>
      <c r="AA11" s="11"/>
    </row>
    <row r="12" spans="1:27" x14ac:dyDescent="0.25">
      <c r="A12" s="29"/>
      <c r="B12" s="30"/>
      <c r="C12" s="22"/>
      <c r="D12" s="30"/>
      <c r="E12" s="22"/>
      <c r="F12" s="30"/>
      <c r="G12" s="22"/>
      <c r="H12" s="30"/>
      <c r="I12" s="22"/>
      <c r="J12" s="30"/>
      <c r="K12" s="22"/>
      <c r="L12" s="30"/>
      <c r="M12" s="22"/>
      <c r="N12" s="30"/>
      <c r="O12" s="22"/>
      <c r="P12" s="30"/>
      <c r="Q12" s="22"/>
      <c r="R12" s="30"/>
      <c r="S12" s="22"/>
      <c r="T12" s="30"/>
      <c r="U12" s="22"/>
      <c r="V12" s="30"/>
      <c r="W12" s="22"/>
      <c r="X12" s="30"/>
      <c r="Y12" s="27"/>
      <c r="Z12" s="17"/>
      <c r="AA12" s="11"/>
    </row>
    <row r="13" spans="1:27" x14ac:dyDescent="0.25">
      <c r="A13" s="29"/>
      <c r="B13" s="30"/>
      <c r="C13" s="22"/>
      <c r="D13" s="30"/>
      <c r="E13" s="22"/>
      <c r="F13" s="30"/>
      <c r="G13" s="22"/>
      <c r="H13" s="30"/>
      <c r="I13" s="22"/>
      <c r="J13" s="30"/>
      <c r="K13" s="22"/>
      <c r="L13" s="30"/>
      <c r="M13" s="22"/>
      <c r="N13" s="30"/>
      <c r="O13" s="22"/>
      <c r="P13" s="30"/>
      <c r="Q13" s="22"/>
      <c r="R13" s="30"/>
      <c r="S13" s="22"/>
      <c r="T13" s="30"/>
      <c r="U13" s="22"/>
      <c r="V13" s="30"/>
      <c r="W13" s="22"/>
      <c r="X13" s="30"/>
      <c r="Y13" s="27"/>
      <c r="Z13" s="17"/>
      <c r="AA13" s="11"/>
    </row>
    <row r="14" spans="1:27" x14ac:dyDescent="0.25">
      <c r="A14" s="29"/>
      <c r="B14" s="30"/>
      <c r="C14" s="22"/>
      <c r="D14" s="30"/>
      <c r="E14" s="22"/>
      <c r="F14" s="30"/>
      <c r="G14" s="22"/>
      <c r="H14" s="30"/>
      <c r="I14" s="22"/>
      <c r="J14" s="30"/>
      <c r="K14" s="22"/>
      <c r="L14" s="30"/>
      <c r="M14" s="22"/>
      <c r="N14" s="30"/>
      <c r="O14" s="22"/>
      <c r="P14" s="30"/>
      <c r="Q14" s="22"/>
      <c r="R14" s="30"/>
      <c r="S14" s="22"/>
      <c r="T14" s="30"/>
      <c r="U14" s="22"/>
      <c r="V14" s="30"/>
      <c r="W14" s="22"/>
      <c r="X14" s="30"/>
      <c r="Y14" s="27"/>
      <c r="Z14" s="17"/>
      <c r="AA14" s="11"/>
    </row>
    <row r="15" spans="1:27" x14ac:dyDescent="0.25">
      <c r="A15" s="29" t="s">
        <v>107</v>
      </c>
      <c r="B15" s="30">
        <v>0</v>
      </c>
      <c r="C15" s="22"/>
      <c r="D15" s="30">
        <v>0</v>
      </c>
      <c r="E15" s="22"/>
      <c r="F15" s="30">
        <v>1045</v>
      </c>
      <c r="G15" s="22"/>
      <c r="H15" s="30">
        <v>0</v>
      </c>
      <c r="I15" s="22"/>
      <c r="J15" s="30">
        <v>2812</v>
      </c>
      <c r="K15" s="22"/>
      <c r="L15" s="30">
        <v>0</v>
      </c>
      <c r="M15" s="22"/>
      <c r="N15" s="30">
        <v>1450</v>
      </c>
      <c r="O15" s="22"/>
      <c r="P15" s="30">
        <v>1100</v>
      </c>
      <c r="Q15" s="22"/>
      <c r="R15" s="30">
        <v>1110</v>
      </c>
      <c r="S15" s="22"/>
      <c r="T15" s="30">
        <v>0</v>
      </c>
      <c r="U15" s="22"/>
      <c r="V15" s="30">
        <v>1400</v>
      </c>
      <c r="W15" s="22"/>
      <c r="X15" s="30"/>
      <c r="Y15" s="27"/>
      <c r="Z15" s="17"/>
      <c r="AA15" s="11"/>
    </row>
    <row r="16" spans="1:27" x14ac:dyDescent="0.25">
      <c r="A16" s="29"/>
      <c r="B16" s="30"/>
      <c r="C16" s="22"/>
      <c r="D16" s="30"/>
      <c r="E16" s="22"/>
      <c r="F16" s="30"/>
      <c r="G16" s="22"/>
      <c r="H16" s="30"/>
      <c r="I16" s="22"/>
      <c r="J16" s="30"/>
      <c r="K16" s="22"/>
      <c r="L16" s="30"/>
      <c r="M16" s="22"/>
      <c r="N16" s="30"/>
      <c r="O16" s="22"/>
      <c r="P16" s="30"/>
      <c r="Q16" s="22"/>
      <c r="R16" s="30"/>
      <c r="S16" s="22"/>
      <c r="T16" s="30"/>
      <c r="U16" s="22"/>
      <c r="V16" s="30"/>
      <c r="W16" s="22"/>
      <c r="X16" s="30"/>
      <c r="Y16" s="27"/>
      <c r="Z16" s="17"/>
      <c r="AA16" s="11"/>
    </row>
    <row r="17" spans="1:27" x14ac:dyDescent="0.25">
      <c r="A17" s="29" t="s">
        <v>74</v>
      </c>
      <c r="B17" s="30">
        <v>0</v>
      </c>
      <c r="C17" s="22"/>
      <c r="D17" s="30">
        <v>1021</v>
      </c>
      <c r="E17" s="22"/>
      <c r="F17" s="30">
        <v>256</v>
      </c>
      <c r="G17" s="22"/>
      <c r="H17" s="30">
        <v>700</v>
      </c>
      <c r="I17" s="22"/>
      <c r="J17" s="30">
        <v>0</v>
      </c>
      <c r="K17" s="22"/>
      <c r="L17" s="30">
        <v>1941</v>
      </c>
      <c r="M17" s="22"/>
      <c r="N17" s="30">
        <v>444</v>
      </c>
      <c r="O17" s="22"/>
      <c r="P17" s="30">
        <v>1528</v>
      </c>
      <c r="Q17" s="22"/>
      <c r="R17" s="30">
        <v>838</v>
      </c>
      <c r="S17" s="22"/>
      <c r="T17" s="30">
        <v>1240</v>
      </c>
      <c r="U17" s="22"/>
      <c r="V17" s="30"/>
      <c r="W17" s="22"/>
      <c r="X17" s="30"/>
      <c r="Y17" s="27"/>
      <c r="Z17" s="17"/>
      <c r="AA17" s="11"/>
    </row>
    <row r="18" spans="1:27" x14ac:dyDescent="0.25">
      <c r="A18" s="29" t="s">
        <v>102</v>
      </c>
      <c r="B18" s="30">
        <v>11700</v>
      </c>
      <c r="C18" s="22">
        <f>IFERROR(B18/B$4,"")</f>
        <v>5.2483633180852675E-2</v>
      </c>
      <c r="D18" s="30">
        <v>13000</v>
      </c>
      <c r="E18" s="22">
        <f>IFERROR(D18/D$4,"")</f>
        <v>9.3616681743753274E-2</v>
      </c>
      <c r="F18" s="30">
        <v>0</v>
      </c>
      <c r="G18" s="22">
        <f t="shared" si="2"/>
        <v>0</v>
      </c>
      <c r="H18" s="30">
        <v>9000</v>
      </c>
      <c r="I18" s="22">
        <f t="shared" si="3"/>
        <v>7.9064508732674982E-2</v>
      </c>
      <c r="J18" s="30">
        <v>7625</v>
      </c>
      <c r="K18" s="22">
        <f t="shared" si="4"/>
        <v>6.1477914553035806E-2</v>
      </c>
      <c r="L18" s="30">
        <v>21800</v>
      </c>
      <c r="M18" s="22">
        <f t="shared" si="5"/>
        <v>0.16345251295867266</v>
      </c>
      <c r="N18" s="30">
        <v>769.5</v>
      </c>
      <c r="O18" s="22">
        <f t="shared" si="6"/>
        <v>6.0422842111462283E-3</v>
      </c>
      <c r="P18" s="30">
        <v>0</v>
      </c>
      <c r="Q18" s="22">
        <f t="shared" si="7"/>
        <v>0</v>
      </c>
      <c r="R18" s="30">
        <v>15587.5</v>
      </c>
      <c r="S18" s="22">
        <f t="shared" si="8"/>
        <v>0.12554146931722193</v>
      </c>
      <c r="T18" s="30">
        <v>7922</v>
      </c>
      <c r="U18" s="22">
        <f t="shared" si="9"/>
        <v>6.6330465041701453E-2</v>
      </c>
      <c r="V18" s="30">
        <v>7600</v>
      </c>
      <c r="W18" s="22">
        <f t="shared" si="10"/>
        <v>6.4978369042937023E-2</v>
      </c>
      <c r="X18" s="30">
        <v>8267</v>
      </c>
      <c r="Y18" s="27">
        <f t="shared" si="11"/>
        <v>5.0227494033244682E-2</v>
      </c>
      <c r="Z18" s="17">
        <f>B18+D18+F18+H18+J18+L18+N18+P18+R18+T18+V18+X18</f>
        <v>103271</v>
      </c>
      <c r="AA18" s="11">
        <f t="shared" si="12"/>
        <v>6.370026212400956E-2</v>
      </c>
    </row>
    <row r="19" spans="1:27" x14ac:dyDescent="0.25">
      <c r="A19" s="31" t="s">
        <v>73</v>
      </c>
      <c r="B19" s="32">
        <v>106956</v>
      </c>
      <c r="C19" s="23">
        <f t="shared" si="0"/>
        <v>0.47978115132404092</v>
      </c>
      <c r="D19" s="32">
        <v>14805</v>
      </c>
      <c r="E19" s="23">
        <f t="shared" si="1"/>
        <v>0.10661499793971287</v>
      </c>
      <c r="F19" s="32">
        <v>1990</v>
      </c>
      <c r="G19" s="23">
        <f t="shared" si="2"/>
        <v>1.6606425952489099E-2</v>
      </c>
      <c r="H19" s="32">
        <v>0</v>
      </c>
      <c r="I19" s="23">
        <f t="shared" si="3"/>
        <v>0</v>
      </c>
      <c r="J19" s="32">
        <v>1738</v>
      </c>
      <c r="K19" s="23">
        <f t="shared" si="4"/>
        <v>1.4012933179432949E-2</v>
      </c>
      <c r="L19" s="32">
        <v>0</v>
      </c>
      <c r="M19" s="23">
        <f t="shared" si="5"/>
        <v>0</v>
      </c>
      <c r="N19" s="32">
        <v>5214</v>
      </c>
      <c r="O19" s="23">
        <f t="shared" si="6"/>
        <v>4.0941481321528826E-2</v>
      </c>
      <c r="P19" s="32">
        <v>4346</v>
      </c>
      <c r="Q19" s="23">
        <f t="shared" si="7"/>
        <v>3.7515105095381682E-2</v>
      </c>
      <c r="R19" s="32">
        <v>0</v>
      </c>
      <c r="S19" s="23">
        <f t="shared" si="8"/>
        <v>0</v>
      </c>
      <c r="T19" s="32">
        <v>0</v>
      </c>
      <c r="U19" s="23">
        <f t="shared" si="9"/>
        <v>0</v>
      </c>
      <c r="V19" s="32">
        <v>4964</v>
      </c>
      <c r="W19" s="23">
        <f t="shared" si="10"/>
        <v>4.2441134727518343E-2</v>
      </c>
      <c r="X19" s="32">
        <v>6480</v>
      </c>
      <c r="Y19" s="28">
        <f t="shared" si="11"/>
        <v>3.9370286843525525E-2</v>
      </c>
      <c r="Z19" s="18">
        <f t="shared" ref="Z19:Z104" si="13">B19+D19+F19+H19+J19+L19+N19+P19+R19+T19+V19+X19</f>
        <v>146493</v>
      </c>
      <c r="AA19" s="12">
        <f t="shared" si="12"/>
        <v>9.0360725657082155E-2</v>
      </c>
    </row>
    <row r="20" spans="1:27" s="1" customFormat="1" x14ac:dyDescent="0.25">
      <c r="A20" s="14" t="s">
        <v>1</v>
      </c>
      <c r="B20" s="5">
        <f>SUM(B21:B43)</f>
        <v>15294</v>
      </c>
      <c r="C20" s="21">
        <f t="shared" si="0"/>
        <v>6.8605528706663324E-2</v>
      </c>
      <c r="D20" s="5">
        <f>SUM(D21:D43)</f>
        <v>16111.15</v>
      </c>
      <c r="E20" s="21">
        <f t="shared" si="1"/>
        <v>0.11602095400583619</v>
      </c>
      <c r="F20" s="5">
        <f>SUM(F21:F43)</f>
        <v>15469.529999999999</v>
      </c>
      <c r="G20" s="21">
        <f t="shared" si="2"/>
        <v>0.1290922635501551</v>
      </c>
      <c r="H20" s="5">
        <f>SUM(H21:H43)</f>
        <v>14415.460000000001</v>
      </c>
      <c r="I20" s="21">
        <f t="shared" si="3"/>
        <v>0.1266390292283919</v>
      </c>
      <c r="J20" s="5">
        <f>SUM(J21:J43)</f>
        <v>17387.29</v>
      </c>
      <c r="K20" s="21">
        <f t="shared" si="4"/>
        <v>0.14018810871198087</v>
      </c>
      <c r="L20" s="5">
        <f>SUM(L21:L43)</f>
        <v>14822.76</v>
      </c>
      <c r="M20" s="21">
        <f t="shared" si="5"/>
        <v>0.11113841151299518</v>
      </c>
      <c r="N20" s="5">
        <f>SUM(N21:N43)</f>
        <v>15205.05</v>
      </c>
      <c r="O20" s="21">
        <f t="shared" si="6"/>
        <v>0.11939341591252625</v>
      </c>
      <c r="P20" s="5">
        <f>SUM(P21:P43)</f>
        <v>14414.14</v>
      </c>
      <c r="Q20" s="21">
        <f t="shared" si="7"/>
        <v>0.12442429290371489</v>
      </c>
      <c r="R20" s="5">
        <f>SUM(R21:R43)</f>
        <v>19671.84</v>
      </c>
      <c r="S20" s="21">
        <f t="shared" si="8"/>
        <v>0.15843667668152681</v>
      </c>
      <c r="T20" s="5">
        <f>SUM(T21:T43)</f>
        <v>16008</v>
      </c>
      <c r="U20" s="21">
        <f t="shared" si="9"/>
        <v>0.13403409295475346</v>
      </c>
      <c r="V20" s="5">
        <f>SUM(V21:V43)</f>
        <v>22322.959999999999</v>
      </c>
      <c r="W20" s="21">
        <f t="shared" si="10"/>
        <v>0.19085651750141069</v>
      </c>
      <c r="X20" s="5">
        <f>SUM(X21:X43)</f>
        <v>26196.634000000002</v>
      </c>
      <c r="Y20" s="26">
        <f t="shared" si="11"/>
        <v>0.15916188193130457</v>
      </c>
      <c r="Z20" s="4">
        <f t="shared" si="13"/>
        <v>207318.81399999998</v>
      </c>
      <c r="AA20" s="10">
        <f t="shared" si="12"/>
        <v>0.12787968350300452</v>
      </c>
    </row>
    <row r="21" spans="1:27" x14ac:dyDescent="0.25">
      <c r="A21" s="33" t="s">
        <v>53</v>
      </c>
      <c r="B21" s="30">
        <v>0</v>
      </c>
      <c r="C21" s="22">
        <f t="shared" si="0"/>
        <v>0</v>
      </c>
      <c r="D21" s="30">
        <v>3500</v>
      </c>
      <c r="E21" s="22">
        <f t="shared" si="1"/>
        <v>2.5204491238702803E-2</v>
      </c>
      <c r="F21" s="30">
        <v>0</v>
      </c>
      <c r="G21" s="22">
        <f t="shared" si="2"/>
        <v>0</v>
      </c>
      <c r="H21" s="30">
        <v>0</v>
      </c>
      <c r="I21" s="22">
        <f t="shared" si="3"/>
        <v>0</v>
      </c>
      <c r="J21" s="30">
        <v>0</v>
      </c>
      <c r="K21" s="22">
        <f t="shared" si="4"/>
        <v>0</v>
      </c>
      <c r="L21" s="30">
        <v>0</v>
      </c>
      <c r="M21" s="22">
        <f t="shared" si="5"/>
        <v>0</v>
      </c>
      <c r="N21" s="30">
        <v>0</v>
      </c>
      <c r="O21" s="22">
        <f t="shared" si="6"/>
        <v>0</v>
      </c>
      <c r="P21" s="30">
        <v>0</v>
      </c>
      <c r="Q21" s="22">
        <f t="shared" si="7"/>
        <v>0</v>
      </c>
      <c r="R21" s="30">
        <v>3500</v>
      </c>
      <c r="S21" s="22">
        <f t="shared" si="8"/>
        <v>2.8188942589271963E-2</v>
      </c>
      <c r="T21" s="30">
        <v>0</v>
      </c>
      <c r="U21" s="22">
        <f t="shared" si="9"/>
        <v>0</v>
      </c>
      <c r="V21" s="30">
        <v>0</v>
      </c>
      <c r="W21" s="22">
        <f t="shared" si="10"/>
        <v>0</v>
      </c>
      <c r="X21" s="30"/>
      <c r="Y21" s="27">
        <f t="shared" si="11"/>
        <v>0</v>
      </c>
      <c r="Z21" s="17">
        <f t="shared" si="13"/>
        <v>7000</v>
      </c>
      <c r="AA21" s="11">
        <f t="shared" si="12"/>
        <v>4.3177836456320447E-3</v>
      </c>
    </row>
    <row r="22" spans="1:27" x14ac:dyDescent="0.25">
      <c r="A22" s="33" t="s">
        <v>100</v>
      </c>
      <c r="B22" s="30">
        <v>0</v>
      </c>
      <c r="C22" s="22">
        <f t="shared" si="0"/>
        <v>0</v>
      </c>
      <c r="D22" s="30">
        <v>0</v>
      </c>
      <c r="E22" s="22">
        <f t="shared" si="1"/>
        <v>0</v>
      </c>
      <c r="F22" s="30">
        <v>0</v>
      </c>
      <c r="G22" s="22">
        <f t="shared" si="2"/>
        <v>0</v>
      </c>
      <c r="H22" s="30">
        <v>0</v>
      </c>
      <c r="I22" s="22">
        <f t="shared" si="3"/>
        <v>0</v>
      </c>
      <c r="J22" s="30">
        <v>0</v>
      </c>
      <c r="K22" s="22">
        <f t="shared" si="4"/>
        <v>0</v>
      </c>
      <c r="L22" s="30">
        <v>2432</v>
      </c>
      <c r="M22" s="22">
        <f t="shared" si="5"/>
        <v>1.8234702363095961E-2</v>
      </c>
      <c r="N22" s="30">
        <v>2432</v>
      </c>
      <c r="O22" s="22">
        <f t="shared" si="6"/>
        <v>1.9096601951276968E-2</v>
      </c>
      <c r="P22" s="30">
        <v>28</v>
      </c>
      <c r="Q22" s="22">
        <f t="shared" si="7"/>
        <v>2.4169879030618661E-4</v>
      </c>
      <c r="R22" s="30">
        <v>31</v>
      </c>
      <c r="S22" s="22">
        <f t="shared" si="8"/>
        <v>2.4967349150498028E-4</v>
      </c>
      <c r="T22" s="30">
        <v>30</v>
      </c>
      <c r="U22" s="22">
        <f t="shared" si="9"/>
        <v>2.5118833012510017E-4</v>
      </c>
      <c r="V22" s="30">
        <v>31</v>
      </c>
      <c r="W22" s="22">
        <f t="shared" si="10"/>
        <v>2.6504334741197995E-4</v>
      </c>
      <c r="X22" s="30">
        <v>31</v>
      </c>
      <c r="Y22" s="27">
        <f t="shared" si="11"/>
        <v>1.8834550804773016E-4</v>
      </c>
      <c r="Z22" s="17">
        <f t="shared" si="13"/>
        <v>5015</v>
      </c>
      <c r="AA22" s="11">
        <f t="shared" si="12"/>
        <v>3.0933835689778148E-3</v>
      </c>
    </row>
    <row r="23" spans="1:27" x14ac:dyDescent="0.25">
      <c r="A23" s="33" t="s">
        <v>50</v>
      </c>
      <c r="B23" s="30">
        <v>672</v>
      </c>
      <c r="C23" s="22">
        <f t="shared" si="0"/>
        <v>3.0144445724387178E-3</v>
      </c>
      <c r="D23" s="30">
        <v>912</v>
      </c>
      <c r="E23" s="22">
        <f t="shared" si="1"/>
        <v>6.5675702884848454E-3</v>
      </c>
      <c r="F23" s="30">
        <v>389.75</v>
      </c>
      <c r="G23" s="22">
        <f t="shared" si="2"/>
        <v>3.2524394547651385E-3</v>
      </c>
      <c r="H23" s="30">
        <v>2145</v>
      </c>
      <c r="I23" s="22">
        <f t="shared" si="3"/>
        <v>1.884370791462087E-2</v>
      </c>
      <c r="J23" s="30">
        <v>2700</v>
      </c>
      <c r="K23" s="22">
        <f t="shared" si="4"/>
        <v>2.17692287597635E-2</v>
      </c>
      <c r="L23" s="30">
        <v>2142</v>
      </c>
      <c r="M23" s="22">
        <f t="shared" si="5"/>
        <v>1.6060334071443891E-2</v>
      </c>
      <c r="N23" s="30">
        <v>439.9</v>
      </c>
      <c r="O23" s="22">
        <f t="shared" si="6"/>
        <v>3.4541921045915863E-3</v>
      </c>
      <c r="P23" s="30">
        <v>469.5</v>
      </c>
      <c r="Q23" s="22">
        <f t="shared" si="7"/>
        <v>4.0527707874555225E-3</v>
      </c>
      <c r="R23" s="30">
        <v>627.5</v>
      </c>
      <c r="S23" s="22">
        <f t="shared" si="8"/>
        <v>5.0538747070766167E-3</v>
      </c>
      <c r="T23" s="30">
        <v>179.5</v>
      </c>
      <c r="U23" s="22">
        <f t="shared" si="9"/>
        <v>1.5029435085818495E-3</v>
      </c>
      <c r="V23" s="30">
        <v>1781</v>
      </c>
      <c r="W23" s="22">
        <f t="shared" si="10"/>
        <v>1.5227167798088267E-2</v>
      </c>
      <c r="X23" s="30">
        <v>1933</v>
      </c>
      <c r="Y23" s="27">
        <f t="shared" si="11"/>
        <v>1.1744253776008464E-2</v>
      </c>
      <c r="Z23" s="17">
        <f t="shared" si="13"/>
        <v>14391.15</v>
      </c>
      <c r="AA23" s="11">
        <f t="shared" si="12"/>
        <v>8.8768388731196562E-3</v>
      </c>
    </row>
    <row r="24" spans="1:27" x14ac:dyDescent="0.25">
      <c r="A24" s="33" t="s">
        <v>70</v>
      </c>
      <c r="B24" s="30">
        <v>0</v>
      </c>
      <c r="C24" s="22">
        <f t="shared" si="0"/>
        <v>0</v>
      </c>
      <c r="D24" s="30">
        <v>0</v>
      </c>
      <c r="E24" s="22">
        <f t="shared" si="1"/>
        <v>0</v>
      </c>
      <c r="F24" s="30">
        <v>0</v>
      </c>
      <c r="G24" s="22">
        <f t="shared" si="2"/>
        <v>0</v>
      </c>
      <c r="H24" s="30">
        <v>382.4</v>
      </c>
      <c r="I24" s="22">
        <f t="shared" si="3"/>
        <v>3.3593631265972125E-3</v>
      </c>
      <c r="J24" s="30">
        <v>342.5</v>
      </c>
      <c r="K24" s="22">
        <f t="shared" si="4"/>
        <v>2.7614669815625922E-3</v>
      </c>
      <c r="L24" s="30">
        <v>682</v>
      </c>
      <c r="M24" s="22">
        <f t="shared" si="5"/>
        <v>5.1135143962300353E-3</v>
      </c>
      <c r="N24" s="30">
        <v>867.44</v>
      </c>
      <c r="O24" s="22">
        <f t="shared" si="6"/>
        <v>6.8113307551873744E-3</v>
      </c>
      <c r="P24" s="30">
        <v>826</v>
      </c>
      <c r="Q24" s="22">
        <f t="shared" si="7"/>
        <v>7.1301143140325056E-3</v>
      </c>
      <c r="R24" s="30">
        <v>360</v>
      </c>
      <c r="S24" s="22">
        <f t="shared" si="8"/>
        <v>2.8994340948965448E-3</v>
      </c>
      <c r="T24" s="30">
        <v>0</v>
      </c>
      <c r="U24" s="22">
        <f t="shared" si="9"/>
        <v>0</v>
      </c>
      <c r="V24" s="30">
        <v>232</v>
      </c>
      <c r="W24" s="22">
        <f t="shared" si="10"/>
        <v>1.9835502128896566E-3</v>
      </c>
      <c r="X24" s="30">
        <v>469.2</v>
      </c>
      <c r="Y24" s="27">
        <f t="shared" si="11"/>
        <v>2.8507003992256446E-3</v>
      </c>
      <c r="Z24" s="17">
        <f t="shared" si="13"/>
        <v>4161.54</v>
      </c>
      <c r="AA24" s="11">
        <f t="shared" si="12"/>
        <v>2.5669470503776543E-3</v>
      </c>
    </row>
    <row r="25" spans="1:27" x14ac:dyDescent="0.25">
      <c r="A25" s="33" t="s">
        <v>42</v>
      </c>
      <c r="B25" s="30">
        <v>599</v>
      </c>
      <c r="C25" s="22">
        <f t="shared" si="0"/>
        <v>2.6869825876351069E-3</v>
      </c>
      <c r="D25" s="30">
        <v>599</v>
      </c>
      <c r="E25" s="22">
        <f t="shared" si="1"/>
        <v>4.3135686434237087E-3</v>
      </c>
      <c r="F25" s="30">
        <v>599</v>
      </c>
      <c r="G25" s="22">
        <f t="shared" si="2"/>
        <v>4.9986176610758645E-3</v>
      </c>
      <c r="H25" s="30">
        <v>599</v>
      </c>
      <c r="I25" s="22">
        <f t="shared" si="3"/>
        <v>5.2621823034302573E-3</v>
      </c>
      <c r="J25" s="30">
        <v>599</v>
      </c>
      <c r="K25" s="22">
        <f t="shared" si="4"/>
        <v>4.8295437137401247E-3</v>
      </c>
      <c r="L25" s="30">
        <v>599</v>
      </c>
      <c r="M25" s="22">
        <f t="shared" si="5"/>
        <v>4.4911951955158222E-3</v>
      </c>
      <c r="N25" s="30">
        <v>599</v>
      </c>
      <c r="O25" s="22">
        <f t="shared" si="6"/>
        <v>4.7034804970456021E-3</v>
      </c>
      <c r="P25" s="30">
        <v>774</v>
      </c>
      <c r="Q25" s="22">
        <f t="shared" si="7"/>
        <v>6.6812451320353017E-3</v>
      </c>
      <c r="R25" s="30">
        <v>599</v>
      </c>
      <c r="S25" s="22">
        <f t="shared" si="8"/>
        <v>4.8243361745639729E-3</v>
      </c>
      <c r="T25" s="30">
        <v>599</v>
      </c>
      <c r="U25" s="22">
        <f t="shared" si="9"/>
        <v>5.0153936581645003E-3</v>
      </c>
      <c r="V25" s="30">
        <v>599</v>
      </c>
      <c r="W25" s="22">
        <f t="shared" si="10"/>
        <v>5.121321454831484E-3</v>
      </c>
      <c r="X25" s="30">
        <v>599</v>
      </c>
      <c r="Y25" s="27">
        <f t="shared" si="11"/>
        <v>3.6393212684061407E-3</v>
      </c>
      <c r="Z25" s="17">
        <f t="shared" si="13"/>
        <v>7363</v>
      </c>
      <c r="AA25" s="11">
        <f t="shared" si="12"/>
        <v>4.5416915689698205E-3</v>
      </c>
    </row>
    <row r="26" spans="1:27" x14ac:dyDescent="0.25">
      <c r="A26" s="33" t="s">
        <v>113</v>
      </c>
      <c r="B26" s="30">
        <v>7084</v>
      </c>
      <c r="C26" s="22">
        <f t="shared" si="0"/>
        <v>3.1777269867791481E-2</v>
      </c>
      <c r="D26" s="30">
        <v>6896</v>
      </c>
      <c r="E26" s="22">
        <f t="shared" si="1"/>
        <v>4.9660049023455582E-2</v>
      </c>
      <c r="F26" s="30">
        <v>6125.28</v>
      </c>
      <c r="G26" s="22">
        <f t="shared" si="2"/>
        <v>5.1115079778021315E-2</v>
      </c>
      <c r="H26" s="30">
        <v>6787.97</v>
      </c>
      <c r="I26" s="22">
        <f t="shared" si="3"/>
        <v>5.9631945926903983E-2</v>
      </c>
      <c r="J26" s="30">
        <v>6129.15</v>
      </c>
      <c r="K26" s="22">
        <f t="shared" si="4"/>
        <v>4.9417358686260904E-2</v>
      </c>
      <c r="L26" s="30">
        <v>5809.26</v>
      </c>
      <c r="M26" s="22">
        <f t="shared" si="5"/>
        <v>4.3556795661940317E-2</v>
      </c>
      <c r="N26" s="30">
        <v>5759.91</v>
      </c>
      <c r="O26" s="22">
        <f t="shared" si="6"/>
        <v>4.5228087395221925E-2</v>
      </c>
      <c r="P26" s="30">
        <v>6933.14</v>
      </c>
      <c r="Q26" s="22">
        <f t="shared" si="7"/>
        <v>5.9847555393694102E-2</v>
      </c>
      <c r="R26" s="30">
        <v>10407</v>
      </c>
      <c r="S26" s="22">
        <f t="shared" si="8"/>
        <v>8.3817807293300947E-2</v>
      </c>
      <c r="T26" s="30">
        <v>10596.5</v>
      </c>
      <c r="U26" s="22">
        <f t="shared" si="9"/>
        <v>8.8723904672354137E-2</v>
      </c>
      <c r="V26" s="30">
        <v>10786.24</v>
      </c>
      <c r="W26" s="22">
        <f t="shared" si="10"/>
        <v>9.2220037277064348E-2</v>
      </c>
      <c r="X26" s="30">
        <v>12166.89</v>
      </c>
      <c r="Y26" s="27">
        <f t="shared" si="11"/>
        <v>7.392190575518863E-2</v>
      </c>
      <c r="Z26" s="17">
        <f t="shared" si="13"/>
        <v>95481.340000000011</v>
      </c>
      <c r="AA26" s="11">
        <f t="shared" si="12"/>
        <v>5.8895395473576119E-2</v>
      </c>
    </row>
    <row r="27" spans="1:27" x14ac:dyDescent="0.25">
      <c r="A27" s="33" t="s">
        <v>43</v>
      </c>
      <c r="B27" s="30">
        <v>0</v>
      </c>
      <c r="C27" s="22"/>
      <c r="D27" s="30">
        <v>0</v>
      </c>
      <c r="E27" s="22"/>
      <c r="F27" s="30">
        <v>0</v>
      </c>
      <c r="G27" s="22"/>
      <c r="H27" s="30">
        <v>0</v>
      </c>
      <c r="I27" s="22"/>
      <c r="J27" s="30">
        <v>0</v>
      </c>
      <c r="K27" s="22"/>
      <c r="L27" s="30">
        <v>0</v>
      </c>
      <c r="M27" s="22"/>
      <c r="N27" s="30">
        <v>0</v>
      </c>
      <c r="O27" s="22"/>
      <c r="P27" s="30">
        <v>0</v>
      </c>
      <c r="Q27" s="22"/>
      <c r="R27" s="30">
        <v>0</v>
      </c>
      <c r="S27" s="22"/>
      <c r="T27" s="30">
        <v>0</v>
      </c>
      <c r="U27" s="22"/>
      <c r="V27" s="30">
        <v>525</v>
      </c>
      <c r="W27" s="22"/>
      <c r="X27" s="30"/>
      <c r="Y27" s="27"/>
      <c r="Z27" s="17"/>
      <c r="AA27" s="11"/>
    </row>
    <row r="28" spans="1:27" x14ac:dyDescent="0.25">
      <c r="A28" s="33" t="s">
        <v>44</v>
      </c>
      <c r="B28" s="30">
        <v>2835</v>
      </c>
      <c r="C28" s="22"/>
      <c r="D28" s="30">
        <v>2942</v>
      </c>
      <c r="E28" s="22"/>
      <c r="F28" s="30">
        <v>2705</v>
      </c>
      <c r="G28" s="22"/>
      <c r="H28" s="30">
        <v>717.59</v>
      </c>
      <c r="I28" s="22"/>
      <c r="J28" s="30">
        <v>1012</v>
      </c>
      <c r="K28" s="22"/>
      <c r="L28" s="30">
        <v>717</v>
      </c>
      <c r="M28" s="22"/>
      <c r="N28" s="30">
        <v>717</v>
      </c>
      <c r="O28" s="22"/>
      <c r="P28" s="30">
        <v>1650</v>
      </c>
      <c r="Q28" s="22"/>
      <c r="R28" s="30">
        <v>690</v>
      </c>
      <c r="S28" s="22"/>
      <c r="T28" s="30">
        <v>1941</v>
      </c>
      <c r="U28" s="22"/>
      <c r="V28" s="30">
        <v>1781</v>
      </c>
      <c r="W28" s="22"/>
      <c r="X28" s="30">
        <v>1894</v>
      </c>
      <c r="Y28" s="27"/>
      <c r="Z28" s="17"/>
      <c r="AA28" s="11"/>
    </row>
    <row r="29" spans="1:27" x14ac:dyDescent="0.25">
      <c r="A29" s="33" t="s">
        <v>71</v>
      </c>
      <c r="B29" s="30">
        <v>0</v>
      </c>
      <c r="C29" s="22"/>
      <c r="D29" s="30">
        <v>0</v>
      </c>
      <c r="E29" s="22"/>
      <c r="F29" s="30">
        <v>264</v>
      </c>
      <c r="G29" s="22"/>
      <c r="H29" s="30">
        <v>264</v>
      </c>
      <c r="I29" s="22"/>
      <c r="J29" s="30">
        <v>384</v>
      </c>
      <c r="K29" s="22"/>
      <c r="L29" s="30">
        <v>0</v>
      </c>
      <c r="M29" s="22"/>
      <c r="N29" s="30">
        <v>0</v>
      </c>
      <c r="O29" s="22"/>
      <c r="P29" s="30">
        <v>0</v>
      </c>
      <c r="Q29" s="22"/>
      <c r="R29" s="30">
        <v>0</v>
      </c>
      <c r="S29" s="22"/>
      <c r="T29" s="30">
        <v>472</v>
      </c>
      <c r="U29" s="22"/>
      <c r="V29" s="30">
        <v>0</v>
      </c>
      <c r="W29" s="22"/>
      <c r="X29" s="30">
        <v>826</v>
      </c>
      <c r="Y29" s="27"/>
      <c r="Z29" s="17"/>
      <c r="AA29" s="11"/>
    </row>
    <row r="30" spans="1:27" x14ac:dyDescent="0.25">
      <c r="A30" s="33" t="s">
        <v>64</v>
      </c>
      <c r="B30" s="30">
        <v>0</v>
      </c>
      <c r="C30" s="22"/>
      <c r="D30" s="30">
        <v>0</v>
      </c>
      <c r="E30" s="22"/>
      <c r="F30" s="30">
        <v>0</v>
      </c>
      <c r="G30" s="22"/>
      <c r="H30" s="30">
        <v>0</v>
      </c>
      <c r="I30" s="22"/>
      <c r="J30" s="30">
        <v>2000</v>
      </c>
      <c r="K30" s="22"/>
      <c r="L30" s="30">
        <v>0</v>
      </c>
      <c r="M30" s="22"/>
      <c r="N30" s="30">
        <v>0</v>
      </c>
      <c r="O30" s="22"/>
      <c r="P30" s="30">
        <v>0</v>
      </c>
      <c r="Q30" s="22"/>
      <c r="R30" s="30">
        <v>0</v>
      </c>
      <c r="S30" s="22"/>
      <c r="T30" s="30">
        <v>0</v>
      </c>
      <c r="U30" s="22"/>
      <c r="V30" s="30">
        <v>0</v>
      </c>
      <c r="W30" s="22"/>
      <c r="X30" s="30"/>
      <c r="Y30" s="27"/>
      <c r="Z30" s="17"/>
      <c r="AA30" s="11"/>
    </row>
    <row r="31" spans="1:27" x14ac:dyDescent="0.25">
      <c r="A31" s="33" t="s">
        <v>41</v>
      </c>
      <c r="B31" s="30">
        <v>0</v>
      </c>
      <c r="C31" s="22"/>
      <c r="D31" s="30">
        <v>0</v>
      </c>
      <c r="E31" s="22"/>
      <c r="F31" s="30">
        <v>0</v>
      </c>
      <c r="G31" s="22"/>
      <c r="H31" s="30">
        <v>103</v>
      </c>
      <c r="I31" s="22"/>
      <c r="J31" s="30">
        <v>103</v>
      </c>
      <c r="K31" s="22"/>
      <c r="L31" s="30">
        <v>103</v>
      </c>
      <c r="M31" s="22"/>
      <c r="N31" s="30">
        <v>103</v>
      </c>
      <c r="O31" s="22"/>
      <c r="P31" s="30">
        <v>103</v>
      </c>
      <c r="Q31" s="22"/>
      <c r="R31" s="30">
        <v>103</v>
      </c>
      <c r="S31" s="22"/>
      <c r="T31" s="30">
        <v>0</v>
      </c>
      <c r="U31" s="22"/>
      <c r="V31" s="30">
        <v>0</v>
      </c>
      <c r="W31" s="22"/>
      <c r="X31" s="30">
        <v>0</v>
      </c>
      <c r="Y31" s="27"/>
      <c r="Z31" s="17"/>
      <c r="AA31" s="11"/>
    </row>
    <row r="32" spans="1:27" x14ac:dyDescent="0.25">
      <c r="A32" s="33" t="s">
        <v>77</v>
      </c>
      <c r="B32" s="30">
        <v>0</v>
      </c>
      <c r="C32" s="22"/>
      <c r="D32" s="30">
        <v>0</v>
      </c>
      <c r="E32" s="22"/>
      <c r="F32" s="30">
        <v>0</v>
      </c>
      <c r="G32" s="22"/>
      <c r="H32" s="30">
        <v>0</v>
      </c>
      <c r="I32" s="22"/>
      <c r="J32" s="30">
        <v>0</v>
      </c>
      <c r="K32" s="22"/>
      <c r="L32" s="30">
        <v>0</v>
      </c>
      <c r="M32" s="22"/>
      <c r="N32" s="30">
        <v>0</v>
      </c>
      <c r="O32" s="22"/>
      <c r="P32" s="30">
        <v>0</v>
      </c>
      <c r="Q32" s="22"/>
      <c r="R32" s="30">
        <v>0</v>
      </c>
      <c r="S32" s="22"/>
      <c r="T32" s="30">
        <v>0</v>
      </c>
      <c r="U32" s="22"/>
      <c r="V32" s="30">
        <v>4483.72</v>
      </c>
      <c r="W32" s="22"/>
      <c r="X32" s="30">
        <v>4100</v>
      </c>
      <c r="Y32" s="27"/>
      <c r="Z32" s="17"/>
      <c r="AA32" s="11"/>
    </row>
    <row r="33" spans="1:27" x14ac:dyDescent="0.25">
      <c r="A33" s="33" t="s">
        <v>90</v>
      </c>
      <c r="B33" s="30">
        <v>0</v>
      </c>
      <c r="C33" s="22"/>
      <c r="D33" s="30">
        <v>0</v>
      </c>
      <c r="E33" s="22"/>
      <c r="F33" s="30">
        <v>1660</v>
      </c>
      <c r="G33" s="22"/>
      <c r="H33" s="30">
        <v>0</v>
      </c>
      <c r="I33" s="22"/>
      <c r="J33" s="30">
        <v>455</v>
      </c>
      <c r="K33" s="22"/>
      <c r="L33" s="30">
        <v>0</v>
      </c>
      <c r="M33" s="22"/>
      <c r="N33" s="30">
        <v>0</v>
      </c>
      <c r="O33" s="22"/>
      <c r="P33" s="30">
        <v>880.5</v>
      </c>
      <c r="Q33" s="22"/>
      <c r="R33" s="30">
        <v>0</v>
      </c>
      <c r="S33" s="22"/>
      <c r="T33" s="30">
        <v>0</v>
      </c>
      <c r="U33" s="22"/>
      <c r="V33" s="30">
        <v>0</v>
      </c>
      <c r="W33" s="22"/>
      <c r="X33" s="30"/>
      <c r="Y33" s="27"/>
      <c r="Z33" s="17"/>
      <c r="AA33" s="11"/>
    </row>
    <row r="34" spans="1:27" x14ac:dyDescent="0.25">
      <c r="A34" s="33" t="s">
        <v>45</v>
      </c>
      <c r="B34" s="30">
        <v>343</v>
      </c>
      <c r="C34" s="22"/>
      <c r="D34" s="30">
        <v>0</v>
      </c>
      <c r="E34" s="22"/>
      <c r="F34" s="30">
        <v>0</v>
      </c>
      <c r="G34" s="22"/>
      <c r="H34" s="30">
        <v>0</v>
      </c>
      <c r="I34" s="22"/>
      <c r="J34" s="30">
        <v>275</v>
      </c>
      <c r="K34" s="22"/>
      <c r="L34" s="30">
        <v>100</v>
      </c>
      <c r="M34" s="22"/>
      <c r="N34" s="30">
        <v>272</v>
      </c>
      <c r="O34" s="22"/>
      <c r="P34" s="30">
        <v>0</v>
      </c>
      <c r="Q34" s="22"/>
      <c r="R34" s="30">
        <v>295.33999999999997</v>
      </c>
      <c r="S34" s="22"/>
      <c r="T34" s="30">
        <v>0</v>
      </c>
      <c r="U34" s="22"/>
      <c r="V34" s="30">
        <v>1322</v>
      </c>
      <c r="W34" s="22"/>
      <c r="X34" s="30"/>
      <c r="Y34" s="27"/>
      <c r="Z34" s="17"/>
      <c r="AA34" s="11"/>
    </row>
    <row r="35" spans="1:27" x14ac:dyDescent="0.25">
      <c r="A35" s="33" t="s">
        <v>46</v>
      </c>
      <c r="B35" s="30">
        <v>0</v>
      </c>
      <c r="C35" s="22"/>
      <c r="D35" s="30">
        <v>0</v>
      </c>
      <c r="E35" s="22"/>
      <c r="F35" s="30">
        <v>0</v>
      </c>
      <c r="G35" s="22"/>
      <c r="H35" s="30">
        <v>0</v>
      </c>
      <c r="I35" s="22"/>
      <c r="J35" s="30">
        <v>280</v>
      </c>
      <c r="K35" s="22"/>
      <c r="L35" s="30">
        <v>0</v>
      </c>
      <c r="M35" s="22"/>
      <c r="N35" s="30">
        <v>0</v>
      </c>
      <c r="O35" s="22"/>
      <c r="P35" s="30">
        <v>0</v>
      </c>
      <c r="Q35" s="22"/>
      <c r="R35" s="30">
        <v>0</v>
      </c>
      <c r="S35" s="22"/>
      <c r="T35" s="30">
        <v>0</v>
      </c>
      <c r="U35" s="22"/>
      <c r="V35" s="30">
        <v>0</v>
      </c>
      <c r="W35" s="22"/>
      <c r="X35" s="30"/>
      <c r="Y35" s="27"/>
      <c r="Z35" s="17"/>
      <c r="AA35" s="11"/>
    </row>
    <row r="36" spans="1:27" x14ac:dyDescent="0.25">
      <c r="A36" s="33" t="s">
        <v>47</v>
      </c>
      <c r="B36" s="30">
        <v>0</v>
      </c>
      <c r="C36" s="22"/>
      <c r="D36" s="30">
        <v>0</v>
      </c>
      <c r="E36" s="22"/>
      <c r="F36" s="30">
        <v>0</v>
      </c>
      <c r="G36" s="22"/>
      <c r="H36" s="30">
        <v>0</v>
      </c>
      <c r="I36" s="22"/>
      <c r="J36" s="30">
        <v>0</v>
      </c>
      <c r="K36" s="22"/>
      <c r="L36" s="30">
        <v>0</v>
      </c>
      <c r="M36" s="22"/>
      <c r="N36" s="30">
        <v>0</v>
      </c>
      <c r="O36" s="22"/>
      <c r="P36" s="30">
        <v>0</v>
      </c>
      <c r="Q36" s="22"/>
      <c r="R36" s="30">
        <v>0</v>
      </c>
      <c r="S36" s="22"/>
      <c r="T36" s="30">
        <v>0</v>
      </c>
      <c r="U36" s="22"/>
      <c r="V36" s="30">
        <v>0</v>
      </c>
      <c r="W36" s="22"/>
      <c r="X36" s="30"/>
      <c r="Y36" s="27"/>
      <c r="Z36" s="17"/>
      <c r="AA36" s="11"/>
    </row>
    <row r="37" spans="1:27" x14ac:dyDescent="0.25">
      <c r="A37" s="33" t="s">
        <v>63</v>
      </c>
      <c r="B37" s="30">
        <v>130</v>
      </c>
      <c r="C37" s="22"/>
      <c r="D37" s="30">
        <v>0</v>
      </c>
      <c r="E37" s="22"/>
      <c r="F37" s="30">
        <v>0</v>
      </c>
      <c r="G37" s="22"/>
      <c r="H37" s="30">
        <v>0</v>
      </c>
      <c r="I37" s="22"/>
      <c r="J37" s="30">
        <v>0</v>
      </c>
      <c r="K37" s="22"/>
      <c r="L37" s="30">
        <v>0</v>
      </c>
      <c r="M37" s="22"/>
      <c r="N37" s="30">
        <v>140</v>
      </c>
      <c r="O37" s="22"/>
      <c r="P37" s="30">
        <v>0</v>
      </c>
      <c r="Q37" s="22"/>
      <c r="R37" s="30">
        <v>0</v>
      </c>
      <c r="S37" s="22"/>
      <c r="T37" s="30">
        <v>0</v>
      </c>
      <c r="U37" s="22"/>
      <c r="V37" s="30">
        <v>0</v>
      </c>
      <c r="W37" s="22"/>
      <c r="X37" s="30"/>
      <c r="Y37" s="27"/>
      <c r="Z37" s="17"/>
      <c r="AA37" s="11"/>
    </row>
    <row r="38" spans="1:27" x14ac:dyDescent="0.25">
      <c r="A38" s="33" t="s">
        <v>52</v>
      </c>
      <c r="B38" s="30">
        <v>351</v>
      </c>
      <c r="C38" s="22"/>
      <c r="D38" s="30">
        <v>261.64999999999998</v>
      </c>
      <c r="E38" s="22"/>
      <c r="F38" s="30">
        <v>605</v>
      </c>
      <c r="G38" s="22"/>
      <c r="H38" s="30">
        <v>276</v>
      </c>
      <c r="I38" s="22"/>
      <c r="J38" s="30">
        <v>197.14</v>
      </c>
      <c r="K38" s="22"/>
      <c r="L38" s="30">
        <v>358</v>
      </c>
      <c r="M38" s="22"/>
      <c r="N38" s="30">
        <v>134.30000000000001</v>
      </c>
      <c r="O38" s="22"/>
      <c r="P38" s="30">
        <v>0</v>
      </c>
      <c r="Q38" s="22"/>
      <c r="R38" s="30">
        <v>639</v>
      </c>
      <c r="S38" s="22"/>
      <c r="T38" s="30">
        <v>450</v>
      </c>
      <c r="U38" s="22"/>
      <c r="V38" s="30">
        <v>582</v>
      </c>
      <c r="W38" s="22"/>
      <c r="X38" s="30">
        <v>774.54</v>
      </c>
      <c r="Y38" s="27"/>
      <c r="Z38" s="17"/>
      <c r="AA38" s="11"/>
    </row>
    <row r="39" spans="1:27" x14ac:dyDescent="0.25">
      <c r="A39" s="33" t="s">
        <v>66</v>
      </c>
      <c r="B39" s="30">
        <v>0</v>
      </c>
      <c r="C39" s="22"/>
      <c r="D39" s="30">
        <v>0</v>
      </c>
      <c r="E39" s="22"/>
      <c r="F39" s="30">
        <v>491</v>
      </c>
      <c r="G39" s="22"/>
      <c r="H39" s="30">
        <v>470</v>
      </c>
      <c r="I39" s="22"/>
      <c r="J39" s="30" t="s">
        <v>99</v>
      </c>
      <c r="K39" s="22"/>
      <c r="L39" s="30">
        <v>0</v>
      </c>
      <c r="M39" s="22"/>
      <c r="N39" s="30">
        <v>790</v>
      </c>
      <c r="O39" s="22"/>
      <c r="P39" s="30">
        <v>0</v>
      </c>
      <c r="Q39" s="22"/>
      <c r="R39" s="30">
        <v>470</v>
      </c>
      <c r="S39" s="22"/>
      <c r="T39" s="30">
        <v>0</v>
      </c>
      <c r="U39" s="22"/>
      <c r="V39" s="30">
        <v>0</v>
      </c>
      <c r="W39" s="22"/>
      <c r="X39" s="30">
        <v>2143</v>
      </c>
      <c r="Y39" s="27"/>
      <c r="Z39" s="17"/>
      <c r="AA39" s="11"/>
    </row>
    <row r="40" spans="1:27" x14ac:dyDescent="0.25">
      <c r="A40" s="33" t="s">
        <v>76</v>
      </c>
      <c r="B40" s="30">
        <v>1080</v>
      </c>
      <c r="C40" s="22"/>
      <c r="D40" s="30">
        <v>1000.5</v>
      </c>
      <c r="E40" s="22"/>
      <c r="F40" s="30">
        <v>1000.5</v>
      </c>
      <c r="G40" s="22"/>
      <c r="H40" s="30">
        <v>1000.5</v>
      </c>
      <c r="I40" s="22"/>
      <c r="J40" s="30">
        <v>1000.5</v>
      </c>
      <c r="K40" s="22"/>
      <c r="L40" s="30">
        <v>1000.5</v>
      </c>
      <c r="M40" s="22"/>
      <c r="N40" s="30">
        <v>1000.5</v>
      </c>
      <c r="O40" s="22"/>
      <c r="P40" s="30">
        <v>1050</v>
      </c>
      <c r="Q40" s="22"/>
      <c r="R40" s="30">
        <v>1050</v>
      </c>
      <c r="S40" s="22"/>
      <c r="T40" s="30">
        <v>0</v>
      </c>
      <c r="U40" s="22"/>
      <c r="V40" s="30">
        <v>0</v>
      </c>
      <c r="W40" s="22"/>
      <c r="X40" s="30"/>
      <c r="Y40" s="27"/>
      <c r="Z40" s="17"/>
      <c r="AA40" s="11"/>
    </row>
    <row r="41" spans="1:27" x14ac:dyDescent="0.25">
      <c r="A41" s="33" t="s">
        <v>75</v>
      </c>
      <c r="B41" s="30">
        <v>0</v>
      </c>
      <c r="C41" s="22"/>
      <c r="D41" s="30">
        <v>0</v>
      </c>
      <c r="E41" s="22"/>
      <c r="F41" s="30">
        <v>0</v>
      </c>
      <c r="G41" s="22"/>
      <c r="H41" s="30">
        <v>0</v>
      </c>
      <c r="I41" s="22"/>
      <c r="J41" s="30">
        <v>0</v>
      </c>
      <c r="K41" s="22"/>
      <c r="L41" s="30">
        <v>0</v>
      </c>
      <c r="M41" s="22"/>
      <c r="N41" s="30">
        <v>0</v>
      </c>
      <c r="O41" s="22"/>
      <c r="P41" s="30">
        <v>0</v>
      </c>
      <c r="Q41" s="22"/>
      <c r="R41" s="30">
        <v>0</v>
      </c>
      <c r="S41" s="22"/>
      <c r="T41" s="30">
        <v>0</v>
      </c>
      <c r="U41" s="22"/>
      <c r="V41" s="30">
        <v>0</v>
      </c>
      <c r="W41" s="22"/>
      <c r="X41" s="30">
        <v>1060</v>
      </c>
      <c r="Y41" s="27"/>
      <c r="Z41" s="17"/>
      <c r="AA41" s="11"/>
    </row>
    <row r="42" spans="1:27" x14ac:dyDescent="0.25">
      <c r="A42" s="33" t="s">
        <v>83</v>
      </c>
      <c r="B42" s="30">
        <v>200</v>
      </c>
      <c r="C42" s="22">
        <f t="shared" si="0"/>
        <v>8.9715612274961839E-4</v>
      </c>
      <c r="D42" s="30">
        <v>0</v>
      </c>
      <c r="E42" s="22">
        <f t="shared" si="1"/>
        <v>0</v>
      </c>
      <c r="F42" s="30">
        <v>0</v>
      </c>
      <c r="G42" s="22">
        <f t="shared" si="2"/>
        <v>0</v>
      </c>
      <c r="H42" s="30">
        <v>0</v>
      </c>
      <c r="I42" s="22">
        <f t="shared" si="3"/>
        <v>0</v>
      </c>
      <c r="J42" s="30">
        <v>230</v>
      </c>
      <c r="K42" s="22">
        <f t="shared" si="4"/>
        <v>1.854415783239113E-3</v>
      </c>
      <c r="L42" s="30">
        <v>0</v>
      </c>
      <c r="M42" s="22">
        <f t="shared" si="5"/>
        <v>0</v>
      </c>
      <c r="N42" s="30">
        <v>250</v>
      </c>
      <c r="O42" s="22">
        <f t="shared" si="6"/>
        <v>1.9630552992677803E-3</v>
      </c>
      <c r="P42" s="30">
        <v>0</v>
      </c>
      <c r="Q42" s="22">
        <f t="shared" si="7"/>
        <v>0</v>
      </c>
      <c r="R42" s="30">
        <v>0</v>
      </c>
      <c r="S42" s="22">
        <f t="shared" si="8"/>
        <v>0</v>
      </c>
      <c r="T42" s="30">
        <v>0</v>
      </c>
      <c r="U42" s="22">
        <f t="shared" si="9"/>
        <v>0</v>
      </c>
      <c r="V42" s="30">
        <v>200</v>
      </c>
      <c r="W42" s="22">
        <f t="shared" si="10"/>
        <v>1.7099570800772901E-3</v>
      </c>
      <c r="X42" s="30">
        <v>0</v>
      </c>
      <c r="Y42" s="27">
        <f t="shared" si="11"/>
        <v>0</v>
      </c>
      <c r="Z42" s="17">
        <f t="shared" si="13"/>
        <v>880</v>
      </c>
      <c r="AA42" s="11">
        <f t="shared" si="12"/>
        <v>5.4280708687945705E-4</v>
      </c>
    </row>
    <row r="43" spans="1:27" x14ac:dyDescent="0.25">
      <c r="A43" s="34" t="s">
        <v>103</v>
      </c>
      <c r="B43" s="32">
        <v>2000</v>
      </c>
      <c r="C43" s="23">
        <f t="shared" si="0"/>
        <v>8.9715612274961845E-3</v>
      </c>
      <c r="D43" s="32">
        <v>0</v>
      </c>
      <c r="E43" s="23">
        <f t="shared" si="1"/>
        <v>0</v>
      </c>
      <c r="F43" s="32">
        <v>1630</v>
      </c>
      <c r="G43" s="23">
        <f t="shared" si="2"/>
        <v>1.3602248393244839E-2</v>
      </c>
      <c r="H43" s="32">
        <v>1670</v>
      </c>
      <c r="I43" s="23">
        <f t="shared" si="3"/>
        <v>1.4670858842618581E-2</v>
      </c>
      <c r="J43" s="32">
        <v>1680</v>
      </c>
      <c r="K43" s="23">
        <f t="shared" si="4"/>
        <v>1.3545297894963955E-2</v>
      </c>
      <c r="L43" s="32">
        <v>880</v>
      </c>
      <c r="M43" s="23">
        <f t="shared" si="5"/>
        <v>6.5980830919097223E-3</v>
      </c>
      <c r="N43" s="32">
        <v>1700</v>
      </c>
      <c r="O43" s="23">
        <f t="shared" si="6"/>
        <v>1.3348776035020906E-2</v>
      </c>
      <c r="P43" s="32">
        <v>1700</v>
      </c>
      <c r="Q43" s="23">
        <f t="shared" si="7"/>
        <v>1.4674569411447045E-2</v>
      </c>
      <c r="R43" s="32">
        <v>900</v>
      </c>
      <c r="S43" s="23">
        <f t="shared" si="8"/>
        <v>7.2485852372413621E-3</v>
      </c>
      <c r="T43" s="32">
        <v>1740</v>
      </c>
      <c r="U43" s="23">
        <f t="shared" si="9"/>
        <v>1.4568923147255811E-2</v>
      </c>
      <c r="V43" s="32">
        <v>0</v>
      </c>
      <c r="W43" s="23">
        <f t="shared" si="10"/>
        <v>0</v>
      </c>
      <c r="X43" s="32">
        <v>200.00399999999999</v>
      </c>
      <c r="Y43" s="28">
        <f t="shared" si="11"/>
        <v>1.2151566126315555E-3</v>
      </c>
      <c r="Z43" s="18">
        <f t="shared" si="13"/>
        <v>14100.004000000001</v>
      </c>
      <c r="AA43" s="12">
        <f t="shared" si="12"/>
        <v>8.6972523820780592E-3</v>
      </c>
    </row>
    <row r="44" spans="1:27" s="1" customFormat="1" x14ac:dyDescent="0.25">
      <c r="A44" s="15" t="s">
        <v>2</v>
      </c>
      <c r="B44" s="6">
        <f>B4-B20</f>
        <v>207632.64000000001</v>
      </c>
      <c r="C44" s="20">
        <f t="shared" si="0"/>
        <v>0.93139447129333663</v>
      </c>
      <c r="D44" s="6">
        <f>D4-D20</f>
        <v>122752.99000000002</v>
      </c>
      <c r="E44" s="20">
        <f t="shared" si="1"/>
        <v>0.88397904599416388</v>
      </c>
      <c r="F44" s="6">
        <f>F4-F20</f>
        <v>104363.6</v>
      </c>
      <c r="G44" s="20">
        <f t="shared" si="2"/>
        <v>0.87090773644984487</v>
      </c>
      <c r="H44" s="6">
        <f>H4-H20</f>
        <v>99415.64</v>
      </c>
      <c r="I44" s="20">
        <f t="shared" si="3"/>
        <v>0.87336097077160801</v>
      </c>
      <c r="J44" s="6">
        <f>J4-J20</f>
        <v>106640.98999999999</v>
      </c>
      <c r="K44" s="20">
        <f t="shared" si="4"/>
        <v>0.85981189128801905</v>
      </c>
      <c r="L44" s="6">
        <f>L4-L20</f>
        <v>118549.31000000001</v>
      </c>
      <c r="M44" s="20">
        <f t="shared" si="5"/>
        <v>0.88886158848700481</v>
      </c>
      <c r="N44" s="6">
        <f>N4-N20</f>
        <v>112147.45</v>
      </c>
      <c r="O44" s="20">
        <f t="shared" si="6"/>
        <v>0.88060658408747372</v>
      </c>
      <c r="P44" s="6">
        <f>P4-P20</f>
        <v>101432.53</v>
      </c>
      <c r="Q44" s="20">
        <f t="shared" si="7"/>
        <v>0.87557570709628507</v>
      </c>
      <c r="R44" s="6">
        <f>R4-R20</f>
        <v>104490.32</v>
      </c>
      <c r="S44" s="20">
        <f t="shared" si="8"/>
        <v>0.84156332331847328</v>
      </c>
      <c r="T44" s="6">
        <f>T4-T20</f>
        <v>103424.29999999999</v>
      </c>
      <c r="U44" s="20">
        <f t="shared" si="9"/>
        <v>0.86596590704524656</v>
      </c>
      <c r="V44" s="6">
        <f>V4-V20</f>
        <v>94639.040000000008</v>
      </c>
      <c r="W44" s="20">
        <f t="shared" si="10"/>
        <v>0.80914348249858936</v>
      </c>
      <c r="X44" s="6">
        <f>X4-X20</f>
        <v>138394.49600000001</v>
      </c>
      <c r="Y44" s="25">
        <f t="shared" si="11"/>
        <v>0.84083811806869546</v>
      </c>
      <c r="Z44" s="6">
        <f t="shared" si="13"/>
        <v>1413883.3060000001</v>
      </c>
      <c r="AA44" s="9">
        <f t="shared" si="12"/>
        <v>0.87212031649699551</v>
      </c>
    </row>
    <row r="45" spans="1:27" x14ac:dyDescent="0.25">
      <c r="A45" s="15" t="s">
        <v>3</v>
      </c>
      <c r="B45" s="35"/>
      <c r="C45" s="19">
        <f t="shared" si="0"/>
        <v>0</v>
      </c>
      <c r="D45" s="35"/>
      <c r="E45" s="19">
        <f t="shared" si="1"/>
        <v>0</v>
      </c>
      <c r="F45" s="35"/>
      <c r="G45" s="19">
        <f t="shared" si="2"/>
        <v>0</v>
      </c>
      <c r="H45" s="35">
        <v>0</v>
      </c>
      <c r="I45" s="19">
        <f t="shared" si="3"/>
        <v>0</v>
      </c>
      <c r="J45" s="35"/>
      <c r="K45" s="19">
        <f t="shared" si="4"/>
        <v>0</v>
      </c>
      <c r="L45" s="35"/>
      <c r="M45" s="19">
        <f t="shared" si="5"/>
        <v>0</v>
      </c>
      <c r="N45" s="35"/>
      <c r="O45" s="19">
        <f t="shared" si="6"/>
        <v>0</v>
      </c>
      <c r="P45" s="35"/>
      <c r="Q45" s="19">
        <f t="shared" si="7"/>
        <v>0</v>
      </c>
      <c r="R45" s="35"/>
      <c r="S45" s="19">
        <f t="shared" si="8"/>
        <v>0</v>
      </c>
      <c r="T45" s="35"/>
      <c r="U45" s="19">
        <f t="shared" si="9"/>
        <v>0</v>
      </c>
      <c r="V45" s="35"/>
      <c r="W45" s="19">
        <f t="shared" si="10"/>
        <v>0</v>
      </c>
      <c r="X45" s="35"/>
      <c r="Y45" s="24">
        <f t="shared" si="11"/>
        <v>0</v>
      </c>
      <c r="Z45" s="6">
        <f t="shared" si="13"/>
        <v>0</v>
      </c>
      <c r="AA45" s="8">
        <f t="shared" si="12"/>
        <v>0</v>
      </c>
    </row>
    <row r="46" spans="1:27" s="1" customFormat="1" x14ac:dyDescent="0.25">
      <c r="A46" s="15" t="s">
        <v>9</v>
      </c>
      <c r="B46" s="6">
        <f>B44-B45</f>
        <v>207632.64000000001</v>
      </c>
      <c r="C46" s="20">
        <f t="shared" si="0"/>
        <v>0.93139447129333663</v>
      </c>
      <c r="D46" s="6">
        <f>D44-D45</f>
        <v>122752.99000000002</v>
      </c>
      <c r="E46" s="20">
        <f t="shared" si="1"/>
        <v>0.88397904599416388</v>
      </c>
      <c r="F46" s="6">
        <f>F44-F45</f>
        <v>104363.6</v>
      </c>
      <c r="G46" s="20">
        <f t="shared" si="2"/>
        <v>0.87090773644984487</v>
      </c>
      <c r="H46" s="6">
        <f>H44-H45</f>
        <v>99415.64</v>
      </c>
      <c r="I46" s="20">
        <f t="shared" si="3"/>
        <v>0.87336097077160801</v>
      </c>
      <c r="J46" s="6">
        <f>J44-J45</f>
        <v>106640.98999999999</v>
      </c>
      <c r="K46" s="20">
        <f t="shared" si="4"/>
        <v>0.85981189128801905</v>
      </c>
      <c r="L46" s="6">
        <f>L44-L45</f>
        <v>118549.31000000001</v>
      </c>
      <c r="M46" s="20">
        <f t="shared" si="5"/>
        <v>0.88886158848700481</v>
      </c>
      <c r="N46" s="6">
        <f>N44-N45</f>
        <v>112147.45</v>
      </c>
      <c r="O46" s="20">
        <f t="shared" si="6"/>
        <v>0.88060658408747372</v>
      </c>
      <c r="P46" s="6">
        <f>P44-P45</f>
        <v>101432.53</v>
      </c>
      <c r="Q46" s="20">
        <f t="shared" si="7"/>
        <v>0.87557570709628507</v>
      </c>
      <c r="R46" s="6">
        <f>R44-R45</f>
        <v>104490.32</v>
      </c>
      <c r="S46" s="20">
        <f t="shared" si="8"/>
        <v>0.84156332331847328</v>
      </c>
      <c r="T46" s="6">
        <f>T44-T45</f>
        <v>103424.29999999999</v>
      </c>
      <c r="U46" s="20">
        <f t="shared" si="9"/>
        <v>0.86596590704524656</v>
      </c>
      <c r="V46" s="6">
        <f>V44-V45</f>
        <v>94639.040000000008</v>
      </c>
      <c r="W46" s="20">
        <f t="shared" si="10"/>
        <v>0.80914348249858936</v>
      </c>
      <c r="X46" s="6">
        <f>X44-X45</f>
        <v>138394.49600000001</v>
      </c>
      <c r="Y46" s="25">
        <f t="shared" si="11"/>
        <v>0.84083811806869546</v>
      </c>
      <c r="Z46" s="6">
        <f t="shared" si="13"/>
        <v>1413883.3060000001</v>
      </c>
      <c r="AA46" s="9">
        <f t="shared" si="12"/>
        <v>0.87212031649699551</v>
      </c>
    </row>
    <row r="47" spans="1:27" s="1" customFormat="1" x14ac:dyDescent="0.25">
      <c r="A47" s="14" t="s">
        <v>5</v>
      </c>
      <c r="B47" s="5">
        <f>SUM(B48:B104)</f>
        <v>100968.08799999997</v>
      </c>
      <c r="C47" s="21">
        <f t="shared" si="0"/>
        <v>0.45292069175761124</v>
      </c>
      <c r="D47" s="5">
        <f>SUM(D48:D104)</f>
        <v>95949.2</v>
      </c>
      <c r="E47" s="21">
        <f t="shared" si="1"/>
        <v>0.69095736307444089</v>
      </c>
      <c r="F47" s="5">
        <f>SUM(F48:F104)</f>
        <v>95702.630000000019</v>
      </c>
      <c r="G47" s="21">
        <f t="shared" si="2"/>
        <v>0.79863248168515677</v>
      </c>
      <c r="H47" s="5">
        <f>SUM(H48:H104)</f>
        <v>93365.07</v>
      </c>
      <c r="I47" s="21">
        <f t="shared" si="3"/>
        <v>0.82020704359353469</v>
      </c>
      <c r="J47" s="5">
        <f>SUM(J48:J104)</f>
        <v>95631.59</v>
      </c>
      <c r="K47" s="21">
        <f t="shared" si="4"/>
        <v>0.77104665161848573</v>
      </c>
      <c r="L47" s="5">
        <f>SUM(L48:L104)</f>
        <v>90802.65</v>
      </c>
      <c r="M47" s="21">
        <f t="shared" si="5"/>
        <v>0.68082207916545034</v>
      </c>
      <c r="N47" s="5">
        <f>SUM(N48:N104)</f>
        <v>102189.28000000001</v>
      </c>
      <c r="O47" s="21">
        <f t="shared" si="6"/>
        <v>0.80241283052943613</v>
      </c>
      <c r="P47" s="5">
        <f>SUM(P48:P104)</f>
        <v>88071.12</v>
      </c>
      <c r="Q47" s="21">
        <f t="shared" si="7"/>
        <v>0.76023868446110709</v>
      </c>
      <c r="R47" s="5">
        <f>SUM(R48:R104)</f>
        <v>89481.49</v>
      </c>
      <c r="S47" s="21">
        <f t="shared" si="8"/>
        <v>0.72068245268928954</v>
      </c>
      <c r="T47" s="5">
        <f>SUM(T48:T104)</f>
        <v>91306.94</v>
      </c>
      <c r="U47" s="21">
        <f t="shared" si="9"/>
        <v>0.76450792624775721</v>
      </c>
      <c r="V47" s="5">
        <f>SUM(V48:V104)</f>
        <v>90358.98</v>
      </c>
      <c r="W47" s="21">
        <f t="shared" si="10"/>
        <v>0.77254988799781121</v>
      </c>
      <c r="X47" s="5">
        <f>SUM(X48:X104)</f>
        <v>117411.69</v>
      </c>
      <c r="Y47" s="26">
        <f t="shared" si="11"/>
        <v>0.71335369044492247</v>
      </c>
      <c r="Z47" s="4">
        <f t="shared" si="13"/>
        <v>1151238.7279999999</v>
      </c>
      <c r="AA47" s="10">
        <f t="shared" si="12"/>
        <v>0.71011425028237674</v>
      </c>
    </row>
    <row r="48" spans="1:27" x14ac:dyDescent="0.25">
      <c r="A48" s="33" t="s">
        <v>30</v>
      </c>
      <c r="B48" s="30">
        <v>10044.379999999999</v>
      </c>
      <c r="C48" s="22">
        <f t="shared" si="0"/>
        <v>4.5056885081119054E-2</v>
      </c>
      <c r="D48" s="30">
        <v>10211.27</v>
      </c>
      <c r="E48" s="22">
        <f t="shared" si="1"/>
        <v>7.3534247214579657E-2</v>
      </c>
      <c r="F48" s="30">
        <v>10449</v>
      </c>
      <c r="G48" s="22">
        <f t="shared" si="2"/>
        <v>8.7196253657064612E-2</v>
      </c>
      <c r="H48" s="30">
        <v>8139</v>
      </c>
      <c r="I48" s="22">
        <f t="shared" si="3"/>
        <v>7.1500670730582416E-2</v>
      </c>
      <c r="J48" s="30">
        <v>7822.58</v>
      </c>
      <c r="K48" s="22">
        <f t="shared" si="4"/>
        <v>6.307093833761139E-2</v>
      </c>
      <c r="L48" s="30">
        <v>8662.44</v>
      </c>
      <c r="M48" s="22">
        <f t="shared" si="5"/>
        <v>6.4949430566684618E-2</v>
      </c>
      <c r="N48" s="30">
        <v>8155</v>
      </c>
      <c r="O48" s="22">
        <f t="shared" si="6"/>
        <v>6.4034863862115002E-2</v>
      </c>
      <c r="P48" s="30">
        <v>8366.93</v>
      </c>
      <c r="Q48" s="22">
        <f t="shared" si="7"/>
        <v>7.2224173556305074E-2</v>
      </c>
      <c r="R48" s="30">
        <v>8814.32</v>
      </c>
      <c r="S48" s="22">
        <f t="shared" si="8"/>
        <v>7.099038869813476E-2</v>
      </c>
      <c r="T48" s="30">
        <v>8684.32</v>
      </c>
      <c r="U48" s="22">
        <f t="shared" si="9"/>
        <v>7.2713327969067001E-2</v>
      </c>
      <c r="V48" s="30">
        <v>13218.65</v>
      </c>
      <c r="W48" s="22">
        <f t="shared" si="10"/>
        <v>0.11301662078281835</v>
      </c>
      <c r="X48" s="30">
        <v>13500</v>
      </c>
      <c r="Y48" s="27">
        <f t="shared" si="11"/>
        <v>8.2021430924011512E-2</v>
      </c>
      <c r="Z48" s="17">
        <f t="shared" si="13"/>
        <v>116067.89000000001</v>
      </c>
      <c r="AA48" s="11">
        <f t="shared" si="12"/>
        <v>7.1593719603574177E-2</v>
      </c>
    </row>
    <row r="49" spans="1:27" x14ac:dyDescent="0.25">
      <c r="A49" s="33" t="s">
        <v>65</v>
      </c>
      <c r="B49" s="30">
        <v>35000</v>
      </c>
      <c r="C49" s="22">
        <f t="shared" si="0"/>
        <v>0.1570023214811832</v>
      </c>
      <c r="D49" s="30">
        <v>35000</v>
      </c>
      <c r="E49" s="22">
        <f t="shared" si="1"/>
        <v>0.25204491238702803</v>
      </c>
      <c r="F49" s="30">
        <v>35000</v>
      </c>
      <c r="G49" s="22">
        <f t="shared" si="2"/>
        <v>0.29207281825985854</v>
      </c>
      <c r="H49" s="30">
        <v>35000</v>
      </c>
      <c r="I49" s="22">
        <f t="shared" si="3"/>
        <v>0.30747308951595825</v>
      </c>
      <c r="J49" s="30">
        <v>35000</v>
      </c>
      <c r="K49" s="22">
        <f t="shared" si="4"/>
        <v>0.28219370614508238</v>
      </c>
      <c r="L49" s="30">
        <v>35000</v>
      </c>
      <c r="M49" s="22">
        <f t="shared" si="5"/>
        <v>0.26242375933731849</v>
      </c>
      <c r="N49" s="30">
        <v>35000</v>
      </c>
      <c r="O49" s="22">
        <f t="shared" si="6"/>
        <v>0.27482774189748926</v>
      </c>
      <c r="P49" s="30">
        <v>35000</v>
      </c>
      <c r="Q49" s="22">
        <f t="shared" si="7"/>
        <v>0.3021234878827333</v>
      </c>
      <c r="R49" s="30">
        <v>37000</v>
      </c>
      <c r="S49" s="22">
        <f t="shared" si="8"/>
        <v>0.29799739308658935</v>
      </c>
      <c r="T49" s="30">
        <v>37000</v>
      </c>
      <c r="U49" s="22">
        <f t="shared" si="9"/>
        <v>0.30979894048762358</v>
      </c>
      <c r="V49" s="30">
        <v>37000</v>
      </c>
      <c r="W49" s="22">
        <f t="shared" si="10"/>
        <v>0.31634205981429864</v>
      </c>
      <c r="X49" s="30">
        <v>74000</v>
      </c>
      <c r="Y49" s="27">
        <f t="shared" si="11"/>
        <v>0.44959895469458167</v>
      </c>
      <c r="Z49" s="17">
        <f t="shared" si="13"/>
        <v>465000</v>
      </c>
      <c r="AA49" s="11">
        <f t="shared" si="12"/>
        <v>0.28682419931698583</v>
      </c>
    </row>
    <row r="50" spans="1:27" x14ac:dyDescent="0.25">
      <c r="A50" s="33" t="s">
        <v>31</v>
      </c>
      <c r="B50" s="30">
        <v>10463.35</v>
      </c>
      <c r="C50" s="22">
        <f t="shared" si="0"/>
        <v>4.6936292584861102E-2</v>
      </c>
      <c r="D50" s="30">
        <v>6614.98</v>
      </c>
      <c r="E50" s="22">
        <f t="shared" si="1"/>
        <v>4.7636344415484075E-2</v>
      </c>
      <c r="F50" s="30">
        <v>8823.31</v>
      </c>
      <c r="G50" s="22">
        <f t="shared" si="2"/>
        <v>7.3629971945154055E-2</v>
      </c>
      <c r="H50" s="30">
        <v>7464</v>
      </c>
      <c r="I50" s="22">
        <f t="shared" si="3"/>
        <v>6.5570832575631788E-2</v>
      </c>
      <c r="J50" s="30">
        <v>8485.84</v>
      </c>
      <c r="K50" s="22">
        <f t="shared" si="4"/>
        <v>6.8418589695833892E-2</v>
      </c>
      <c r="L50" s="30">
        <v>8889.65</v>
      </c>
      <c r="M50" s="22">
        <f t="shared" si="5"/>
        <v>6.6653010634085533E-2</v>
      </c>
      <c r="N50" s="30">
        <v>8623.0400000000009</v>
      </c>
      <c r="O50" s="22">
        <f t="shared" si="6"/>
        <v>6.7710017471192166E-2</v>
      </c>
      <c r="P50" s="30">
        <v>9855</v>
      </c>
      <c r="Q50" s="22">
        <f t="shared" si="7"/>
        <v>8.5069342088123903E-2</v>
      </c>
      <c r="R50" s="30">
        <v>8202.9</v>
      </c>
      <c r="S50" s="22">
        <f t="shared" si="8"/>
        <v>6.6066022047296849E-2</v>
      </c>
      <c r="T50" s="30">
        <v>6033.41</v>
      </c>
      <c r="U50" s="22">
        <f t="shared" si="9"/>
        <v>5.0517406095336025E-2</v>
      </c>
      <c r="V50" s="30">
        <v>8564.33</v>
      </c>
      <c r="W50" s="22">
        <f t="shared" si="10"/>
        <v>7.3223183598091685E-2</v>
      </c>
      <c r="X50" s="30"/>
      <c r="Y50" s="27">
        <f t="shared" si="11"/>
        <v>0</v>
      </c>
      <c r="Z50" s="17">
        <f t="shared" si="13"/>
        <v>92019.81</v>
      </c>
      <c r="AA50" s="11">
        <f t="shared" si="12"/>
        <v>5.6760232956024011E-2</v>
      </c>
    </row>
    <row r="51" spans="1:27" x14ac:dyDescent="0.25">
      <c r="A51" s="33" t="s">
        <v>32</v>
      </c>
      <c r="B51" s="30">
        <v>1440</v>
      </c>
      <c r="C51" s="22">
        <f t="shared" si="0"/>
        <v>6.4595240837972525E-3</v>
      </c>
      <c r="D51" s="30">
        <v>1440</v>
      </c>
      <c r="E51" s="22">
        <f t="shared" si="1"/>
        <v>1.036984782392344E-2</v>
      </c>
      <c r="F51" s="30">
        <v>1440</v>
      </c>
      <c r="G51" s="22">
        <f t="shared" si="2"/>
        <v>1.2016710236977035E-2</v>
      </c>
      <c r="H51" s="30">
        <v>1800</v>
      </c>
      <c r="I51" s="22">
        <f t="shared" si="3"/>
        <v>1.5812901746534998E-2</v>
      </c>
      <c r="J51" s="30">
        <v>1800</v>
      </c>
      <c r="K51" s="22">
        <f t="shared" si="4"/>
        <v>1.4512819173175666E-2</v>
      </c>
      <c r="L51" s="30">
        <v>1800</v>
      </c>
      <c r="M51" s="22">
        <f t="shared" si="5"/>
        <v>1.3496079051633523E-2</v>
      </c>
      <c r="N51" s="30">
        <v>1800</v>
      </c>
      <c r="O51" s="22">
        <f t="shared" si="6"/>
        <v>1.4133998154728019E-2</v>
      </c>
      <c r="P51" s="30">
        <v>1800</v>
      </c>
      <c r="Q51" s="22">
        <f t="shared" si="7"/>
        <v>1.5537779376826284E-2</v>
      </c>
      <c r="R51" s="30">
        <v>1440</v>
      </c>
      <c r="S51" s="22">
        <f t="shared" si="8"/>
        <v>1.1597736379586179E-2</v>
      </c>
      <c r="T51" s="30">
        <v>1440</v>
      </c>
      <c r="U51" s="22">
        <f t="shared" si="9"/>
        <v>1.2057039846004808E-2</v>
      </c>
      <c r="V51" s="30">
        <v>1800</v>
      </c>
      <c r="W51" s="22">
        <f t="shared" si="10"/>
        <v>1.5389613720695611E-2</v>
      </c>
      <c r="X51" s="30">
        <v>2240</v>
      </c>
      <c r="Y51" s="27">
        <f t="shared" si="11"/>
        <v>1.3609481871835985E-2</v>
      </c>
      <c r="Z51" s="17">
        <f t="shared" si="13"/>
        <v>20240</v>
      </c>
      <c r="AA51" s="11">
        <f t="shared" si="12"/>
        <v>1.2484562998227512E-2</v>
      </c>
    </row>
    <row r="52" spans="1:27" x14ac:dyDescent="0.25">
      <c r="A52" s="33" t="s">
        <v>33</v>
      </c>
      <c r="B52" s="30">
        <v>1124</v>
      </c>
      <c r="C52" s="22">
        <f t="shared" si="0"/>
        <v>5.042017409852855E-3</v>
      </c>
      <c r="D52" s="30">
        <v>1662</v>
      </c>
      <c r="E52" s="22">
        <f t="shared" si="1"/>
        <v>1.1968532696778304E-2</v>
      </c>
      <c r="F52" s="30">
        <v>1662</v>
      </c>
      <c r="G52" s="22">
        <f t="shared" si="2"/>
        <v>1.3869286398510995E-2</v>
      </c>
      <c r="H52" s="30">
        <v>1284</v>
      </c>
      <c r="I52" s="22">
        <f t="shared" si="3"/>
        <v>1.1279869912528297E-2</v>
      </c>
      <c r="J52" s="30">
        <v>1400</v>
      </c>
      <c r="K52" s="22">
        <f t="shared" si="4"/>
        <v>1.1287748245803296E-2</v>
      </c>
      <c r="L52" s="30">
        <v>1504</v>
      </c>
      <c r="M52" s="22">
        <f t="shared" si="5"/>
        <v>1.1276723829809343E-2</v>
      </c>
      <c r="N52" s="30">
        <v>1500</v>
      </c>
      <c r="O52" s="22">
        <f t="shared" si="6"/>
        <v>1.1778331795606682E-2</v>
      </c>
      <c r="P52" s="30">
        <v>227.5</v>
      </c>
      <c r="Q52" s="22">
        <f t="shared" si="7"/>
        <v>1.9638026712377665E-3</v>
      </c>
      <c r="R52" s="30">
        <v>900</v>
      </c>
      <c r="S52" s="22">
        <f t="shared" si="8"/>
        <v>7.2485852372413621E-3</v>
      </c>
      <c r="T52" s="30">
        <v>1137.5</v>
      </c>
      <c r="U52" s="22">
        <f t="shared" si="9"/>
        <v>9.5242241839100482E-3</v>
      </c>
      <c r="V52" s="30">
        <v>321.45</v>
      </c>
      <c r="W52" s="22">
        <f t="shared" si="10"/>
        <v>2.7483285169542242E-3</v>
      </c>
      <c r="X52" s="30">
        <v>321.45</v>
      </c>
      <c r="Y52" s="27">
        <f t="shared" si="11"/>
        <v>1.953021405223963E-3</v>
      </c>
      <c r="Z52" s="17">
        <f t="shared" si="13"/>
        <v>13043.900000000001</v>
      </c>
      <c r="AA52" s="11">
        <f t="shared" si="12"/>
        <v>8.0458197278942614E-3</v>
      </c>
    </row>
    <row r="53" spans="1:27" x14ac:dyDescent="0.25">
      <c r="A53" s="33" t="s">
        <v>96</v>
      </c>
      <c r="B53" s="30">
        <v>3343</v>
      </c>
      <c r="C53" s="22">
        <f t="shared" si="0"/>
        <v>1.4995964591759871E-2</v>
      </c>
      <c r="D53" s="30">
        <v>2570</v>
      </c>
      <c r="E53" s="22">
        <f t="shared" si="1"/>
        <v>1.8507297852418916E-2</v>
      </c>
      <c r="F53" s="30">
        <v>2570</v>
      </c>
      <c r="G53" s="22">
        <f t="shared" si="2"/>
        <v>2.1446489797938183E-2</v>
      </c>
      <c r="H53" s="30">
        <v>2570</v>
      </c>
      <c r="I53" s="22">
        <f t="shared" si="3"/>
        <v>2.257730971588608E-2</v>
      </c>
      <c r="J53" s="30">
        <v>2570</v>
      </c>
      <c r="K53" s="22">
        <f t="shared" si="4"/>
        <v>2.0721080708367479E-2</v>
      </c>
      <c r="L53" s="30">
        <v>0</v>
      </c>
      <c r="M53" s="22">
        <f t="shared" si="5"/>
        <v>0</v>
      </c>
      <c r="N53" s="30">
        <v>0</v>
      </c>
      <c r="O53" s="22">
        <f t="shared" si="6"/>
        <v>0</v>
      </c>
      <c r="P53" s="30">
        <v>0</v>
      </c>
      <c r="Q53" s="22">
        <f t="shared" si="7"/>
        <v>0</v>
      </c>
      <c r="R53" s="30">
        <v>220</v>
      </c>
      <c r="S53" s="22">
        <f t="shared" si="8"/>
        <v>1.7718763913256662E-3</v>
      </c>
      <c r="T53" s="30">
        <v>1400</v>
      </c>
      <c r="U53" s="22">
        <f t="shared" si="9"/>
        <v>1.1722122072504676E-2</v>
      </c>
      <c r="V53" s="30">
        <v>481</v>
      </c>
      <c r="W53" s="22">
        <f t="shared" si="10"/>
        <v>4.1124467775858825E-3</v>
      </c>
      <c r="X53" s="30">
        <v>1473</v>
      </c>
      <c r="Y53" s="27">
        <f t="shared" si="11"/>
        <v>8.9494494630421462E-3</v>
      </c>
      <c r="Z53" s="17">
        <f t="shared" si="13"/>
        <v>17197</v>
      </c>
      <c r="AA53" s="11">
        <f t="shared" si="12"/>
        <v>1.0607560764847753E-2</v>
      </c>
    </row>
    <row r="54" spans="1:27" x14ac:dyDescent="0.25">
      <c r="A54" s="36" t="s">
        <v>34</v>
      </c>
      <c r="B54" s="30">
        <v>1440</v>
      </c>
      <c r="C54" s="22">
        <f t="shared" si="0"/>
        <v>6.4595240837972525E-3</v>
      </c>
      <c r="D54" s="30">
        <v>1440</v>
      </c>
      <c r="E54" s="22">
        <f t="shared" si="1"/>
        <v>1.036984782392344E-2</v>
      </c>
      <c r="F54" s="30">
        <v>1440</v>
      </c>
      <c r="G54" s="22">
        <f t="shared" si="2"/>
        <v>1.2016710236977035E-2</v>
      </c>
      <c r="H54" s="30">
        <v>1440</v>
      </c>
      <c r="I54" s="22">
        <f t="shared" si="3"/>
        <v>1.2650321397227998E-2</v>
      </c>
      <c r="J54" s="30">
        <v>1440</v>
      </c>
      <c r="K54" s="22">
        <f t="shared" si="4"/>
        <v>1.1610255338540532E-2</v>
      </c>
      <c r="L54" s="30">
        <v>1440</v>
      </c>
      <c r="M54" s="22">
        <f t="shared" si="5"/>
        <v>1.0796863241306819E-2</v>
      </c>
      <c r="N54" s="30">
        <v>1440</v>
      </c>
      <c r="O54" s="22">
        <f t="shared" si="6"/>
        <v>1.1307198523782414E-2</v>
      </c>
      <c r="P54" s="30">
        <v>1440</v>
      </c>
      <c r="Q54" s="22">
        <f t="shared" si="7"/>
        <v>1.2430223501461026E-2</v>
      </c>
      <c r="R54" s="30">
        <v>1440</v>
      </c>
      <c r="S54" s="22">
        <f t="shared" si="8"/>
        <v>1.1597736379586179E-2</v>
      </c>
      <c r="T54" s="30">
        <v>1440</v>
      </c>
      <c r="U54" s="22">
        <f t="shared" si="9"/>
        <v>1.2057039846004808E-2</v>
      </c>
      <c r="V54" s="30">
        <v>1440</v>
      </c>
      <c r="W54" s="22">
        <f t="shared" si="10"/>
        <v>1.2311690976556489E-2</v>
      </c>
      <c r="X54" s="30">
        <v>1800</v>
      </c>
      <c r="Y54" s="27">
        <f t="shared" si="11"/>
        <v>1.0936190789868202E-2</v>
      </c>
      <c r="Z54" s="17">
        <f t="shared" si="13"/>
        <v>17640</v>
      </c>
      <c r="AA54" s="11">
        <f t="shared" si="12"/>
        <v>1.0880814786992753E-2</v>
      </c>
    </row>
    <row r="55" spans="1:27" x14ac:dyDescent="0.25">
      <c r="A55" s="36" t="s">
        <v>35</v>
      </c>
      <c r="B55" s="30">
        <v>2160.0039999999999</v>
      </c>
      <c r="C55" s="22">
        <f t="shared" si="0"/>
        <v>9.6893040688183323E-3</v>
      </c>
      <c r="D55" s="30">
        <v>2160</v>
      </c>
      <c r="E55" s="22">
        <f t="shared" si="1"/>
        <v>1.5554771735885159E-2</v>
      </c>
      <c r="F55" s="30">
        <v>2160</v>
      </c>
      <c r="G55" s="22">
        <f t="shared" si="2"/>
        <v>1.8025065355465553E-2</v>
      </c>
      <c r="H55" s="30">
        <v>2160</v>
      </c>
      <c r="I55" s="22">
        <f t="shared" si="3"/>
        <v>1.8975482095841996E-2</v>
      </c>
      <c r="J55" s="30">
        <v>2160</v>
      </c>
      <c r="K55" s="22">
        <f t="shared" si="4"/>
        <v>1.74153830078108E-2</v>
      </c>
      <c r="L55" s="30">
        <v>2160</v>
      </c>
      <c r="M55" s="22">
        <f t="shared" si="5"/>
        <v>1.6195294861960228E-2</v>
      </c>
      <c r="N55" s="30">
        <v>2160</v>
      </c>
      <c r="O55" s="22">
        <f t="shared" si="6"/>
        <v>1.6960797785673623E-2</v>
      </c>
      <c r="P55" s="30">
        <v>2160</v>
      </c>
      <c r="Q55" s="22">
        <f t="shared" si="7"/>
        <v>1.8645335252191541E-2</v>
      </c>
      <c r="R55" s="30">
        <v>2160</v>
      </c>
      <c r="S55" s="22">
        <f t="shared" si="8"/>
        <v>1.7396604569379269E-2</v>
      </c>
      <c r="T55" s="30">
        <v>1800</v>
      </c>
      <c r="U55" s="22">
        <f t="shared" si="9"/>
        <v>1.5071299807506012E-2</v>
      </c>
      <c r="V55" s="30">
        <v>1500</v>
      </c>
      <c r="W55" s="22">
        <f t="shared" si="10"/>
        <v>1.2824678100579676E-2</v>
      </c>
      <c r="X55" s="30">
        <v>1800</v>
      </c>
      <c r="Y55" s="27">
        <f t="shared" si="11"/>
        <v>1.0936190789868202E-2</v>
      </c>
      <c r="Z55" s="17">
        <f t="shared" si="13"/>
        <v>24540.004000000001</v>
      </c>
      <c r="AA55" s="11">
        <f t="shared" si="12"/>
        <v>1.5136918276420708E-2</v>
      </c>
    </row>
    <row r="56" spans="1:27" x14ac:dyDescent="0.25">
      <c r="A56" s="33" t="s">
        <v>36</v>
      </c>
      <c r="B56" s="30">
        <v>258.20999999999998</v>
      </c>
      <c r="C56" s="22">
        <f t="shared" si="0"/>
        <v>1.1582734122758947E-3</v>
      </c>
      <c r="D56" s="30">
        <v>258.20999999999998</v>
      </c>
      <c r="E56" s="22">
        <f t="shared" si="1"/>
        <v>1.8594433379272716E-3</v>
      </c>
      <c r="F56" s="30">
        <v>258.51</v>
      </c>
      <c r="G56" s="22">
        <f t="shared" si="2"/>
        <v>2.1572498356673148E-3</v>
      </c>
      <c r="H56" s="30">
        <v>258.51</v>
      </c>
      <c r="I56" s="22">
        <f t="shared" si="3"/>
        <v>2.2709962391648676E-3</v>
      </c>
      <c r="J56" s="30">
        <v>258.51</v>
      </c>
      <c r="K56" s="22">
        <f t="shared" si="4"/>
        <v>2.0842827135875786E-3</v>
      </c>
      <c r="L56" s="30">
        <v>258</v>
      </c>
      <c r="M56" s="22">
        <f t="shared" si="5"/>
        <v>1.934437997400805E-3</v>
      </c>
      <c r="N56" s="30">
        <v>258</v>
      </c>
      <c r="O56" s="22">
        <f t="shared" si="6"/>
        <v>2.0258730688443491E-3</v>
      </c>
      <c r="P56" s="30">
        <v>258</v>
      </c>
      <c r="Q56" s="22">
        <f t="shared" si="7"/>
        <v>2.2270817106784337E-3</v>
      </c>
      <c r="R56" s="30">
        <v>258</v>
      </c>
      <c r="S56" s="22">
        <f t="shared" si="8"/>
        <v>2.0779277680091903E-3</v>
      </c>
      <c r="T56" s="30">
        <v>258</v>
      </c>
      <c r="U56" s="22">
        <f t="shared" si="9"/>
        <v>2.1602196390758618E-3</v>
      </c>
      <c r="V56" s="30">
        <v>258</v>
      </c>
      <c r="W56" s="22">
        <f t="shared" si="10"/>
        <v>2.2058446332997041E-3</v>
      </c>
      <c r="X56" s="30"/>
      <c r="Y56" s="27">
        <f t="shared" si="11"/>
        <v>0</v>
      </c>
      <c r="Z56" s="17">
        <f t="shared" si="13"/>
        <v>2839.95</v>
      </c>
      <c r="AA56" s="11">
        <f t="shared" si="12"/>
        <v>1.751755666344675E-3</v>
      </c>
    </row>
    <row r="57" spans="1:27" x14ac:dyDescent="0.25">
      <c r="A57" s="33" t="s">
        <v>37</v>
      </c>
      <c r="B57" s="30">
        <v>478</v>
      </c>
      <c r="C57" s="22">
        <f t="shared" si="0"/>
        <v>2.144203133371588E-3</v>
      </c>
      <c r="D57" s="30">
        <v>478</v>
      </c>
      <c r="E57" s="22">
        <f t="shared" si="1"/>
        <v>3.4422133748856971E-3</v>
      </c>
      <c r="F57" s="30">
        <v>478</v>
      </c>
      <c r="G57" s="22">
        <f t="shared" si="2"/>
        <v>3.9888802036632106E-3</v>
      </c>
      <c r="H57" s="30">
        <v>478</v>
      </c>
      <c r="I57" s="22">
        <f t="shared" si="3"/>
        <v>4.1992039082465156E-3</v>
      </c>
      <c r="J57" s="30">
        <v>478</v>
      </c>
      <c r="K57" s="22">
        <f t="shared" si="4"/>
        <v>3.8539597582099823E-3</v>
      </c>
      <c r="L57" s="30">
        <v>488</v>
      </c>
      <c r="M57" s="22">
        <f t="shared" si="5"/>
        <v>3.6589369873317552E-3</v>
      </c>
      <c r="N57" s="30">
        <v>488</v>
      </c>
      <c r="O57" s="22">
        <f t="shared" si="6"/>
        <v>3.8318839441707072E-3</v>
      </c>
      <c r="P57" s="30">
        <v>488</v>
      </c>
      <c r="Q57" s="22">
        <f t="shared" si="7"/>
        <v>4.2124646310506813E-3</v>
      </c>
      <c r="R57" s="30">
        <v>488</v>
      </c>
      <c r="S57" s="22">
        <f t="shared" si="8"/>
        <v>3.9303439953042056E-3</v>
      </c>
      <c r="T57" s="30">
        <v>488</v>
      </c>
      <c r="U57" s="22">
        <f t="shared" si="9"/>
        <v>4.0859968367016296E-3</v>
      </c>
      <c r="V57" s="30">
        <v>488</v>
      </c>
      <c r="W57" s="22">
        <f t="shared" si="10"/>
        <v>4.1722952753885881E-3</v>
      </c>
      <c r="X57" s="30"/>
      <c r="Y57" s="27">
        <f t="shared" si="11"/>
        <v>0</v>
      </c>
      <c r="Z57" s="17">
        <f t="shared" si="13"/>
        <v>5318</v>
      </c>
      <c r="AA57" s="11">
        <f t="shared" si="12"/>
        <v>3.2802819182101732E-3</v>
      </c>
    </row>
    <row r="58" spans="1:27" x14ac:dyDescent="0.25">
      <c r="A58" s="33" t="s">
        <v>12</v>
      </c>
      <c r="B58" s="30">
        <v>0</v>
      </c>
      <c r="C58" s="22">
        <f t="shared" si="0"/>
        <v>0</v>
      </c>
      <c r="D58" s="30">
        <v>0</v>
      </c>
      <c r="E58" s="22">
        <f t="shared" si="1"/>
        <v>0</v>
      </c>
      <c r="F58" s="30">
        <v>0</v>
      </c>
      <c r="G58" s="22">
        <f t="shared" si="2"/>
        <v>0</v>
      </c>
      <c r="H58" s="30">
        <v>0</v>
      </c>
      <c r="I58" s="22">
        <f t="shared" si="3"/>
        <v>0</v>
      </c>
      <c r="J58" s="30">
        <v>0</v>
      </c>
      <c r="K58" s="22">
        <f t="shared" si="4"/>
        <v>0</v>
      </c>
      <c r="L58" s="30">
        <v>0</v>
      </c>
      <c r="M58" s="22">
        <f t="shared" si="5"/>
        <v>0</v>
      </c>
      <c r="N58" s="30">
        <v>354</v>
      </c>
      <c r="O58" s="22">
        <f t="shared" si="6"/>
        <v>2.7796863037631769E-3</v>
      </c>
      <c r="P58" s="30">
        <v>0</v>
      </c>
      <c r="Q58" s="22">
        <f t="shared" si="7"/>
        <v>0</v>
      </c>
      <c r="R58" s="30">
        <v>0</v>
      </c>
      <c r="S58" s="22">
        <f t="shared" si="8"/>
        <v>0</v>
      </c>
      <c r="T58" s="30">
        <v>221.45</v>
      </c>
      <c r="U58" s="22">
        <f t="shared" si="9"/>
        <v>1.8541885235401144E-3</v>
      </c>
      <c r="V58" s="30">
        <v>0</v>
      </c>
      <c r="W58" s="22">
        <f t="shared" si="10"/>
        <v>0</v>
      </c>
      <c r="X58" s="30"/>
      <c r="Y58" s="27">
        <f t="shared" si="11"/>
        <v>0</v>
      </c>
      <c r="Z58" s="17">
        <f t="shared" si="13"/>
        <v>575.45000000000005</v>
      </c>
      <c r="AA58" s="11">
        <f t="shared" si="12"/>
        <v>3.5495265698270859E-4</v>
      </c>
    </row>
    <row r="59" spans="1:27" x14ac:dyDescent="0.25">
      <c r="A59" s="33" t="s">
        <v>25</v>
      </c>
      <c r="B59" s="30">
        <v>1735.44</v>
      </c>
      <c r="C59" s="22">
        <f t="shared" si="0"/>
        <v>7.7848031083229885E-3</v>
      </c>
      <c r="D59" s="30">
        <v>1919</v>
      </c>
      <c r="E59" s="22">
        <f t="shared" si="1"/>
        <v>1.3819262482020195E-2</v>
      </c>
      <c r="F59" s="30">
        <v>1360</v>
      </c>
      <c r="G59" s="22">
        <f t="shared" si="2"/>
        <v>1.1349115223811644E-2</v>
      </c>
      <c r="H59" s="30">
        <v>1627</v>
      </c>
      <c r="I59" s="22">
        <f t="shared" si="3"/>
        <v>1.429310618978469E-2</v>
      </c>
      <c r="J59" s="30">
        <v>1424</v>
      </c>
      <c r="K59" s="22">
        <f t="shared" si="4"/>
        <v>1.1481252501445638E-2</v>
      </c>
      <c r="L59" s="30">
        <v>2201</v>
      </c>
      <c r="M59" s="22">
        <f t="shared" si="5"/>
        <v>1.6502705551469658E-2</v>
      </c>
      <c r="N59" s="30">
        <v>1387</v>
      </c>
      <c r="O59" s="22">
        <f t="shared" si="6"/>
        <v>1.0891030800337646E-2</v>
      </c>
      <c r="P59" s="30">
        <v>1415</v>
      </c>
      <c r="Q59" s="22">
        <f t="shared" si="7"/>
        <v>1.2214421010116217E-2</v>
      </c>
      <c r="R59" s="30">
        <v>1539</v>
      </c>
      <c r="S59" s="22">
        <f t="shared" si="8"/>
        <v>1.2395080755682729E-2</v>
      </c>
      <c r="T59" s="30">
        <v>1613</v>
      </c>
      <c r="U59" s="22">
        <f t="shared" si="9"/>
        <v>1.3505559216392887E-2</v>
      </c>
      <c r="V59" s="30">
        <v>793</v>
      </c>
      <c r="W59" s="22">
        <f t="shared" si="10"/>
        <v>6.7799798225064555E-3</v>
      </c>
      <c r="X59" s="30">
        <v>808.57</v>
      </c>
      <c r="Y59" s="27">
        <f t="shared" si="11"/>
        <v>4.9125976594242959E-3</v>
      </c>
      <c r="Z59" s="17">
        <f t="shared" si="13"/>
        <v>17822.010000000002</v>
      </c>
      <c r="AA59" s="11">
        <f t="shared" si="12"/>
        <v>1.0993083330041538E-2</v>
      </c>
    </row>
    <row r="60" spans="1:27" x14ac:dyDescent="0.25">
      <c r="A60" s="33" t="s">
        <v>38</v>
      </c>
      <c r="B60" s="30">
        <v>1650</v>
      </c>
      <c r="C60" s="22">
        <f t="shared" si="0"/>
        <v>7.4015380126843519E-3</v>
      </c>
      <c r="D60" s="30">
        <v>1650</v>
      </c>
      <c r="E60" s="22">
        <f t="shared" si="1"/>
        <v>1.1882117298245608E-2</v>
      </c>
      <c r="F60" s="30">
        <v>1650</v>
      </c>
      <c r="G60" s="22">
        <f t="shared" si="2"/>
        <v>1.3769147146536187E-2</v>
      </c>
      <c r="H60" s="30">
        <v>1650</v>
      </c>
      <c r="I60" s="22">
        <f t="shared" si="3"/>
        <v>1.4495159934323747E-2</v>
      </c>
      <c r="J60" s="30">
        <v>1590</v>
      </c>
      <c r="K60" s="22">
        <f t="shared" si="4"/>
        <v>1.2819656936305171E-2</v>
      </c>
      <c r="L60" s="30">
        <v>1590</v>
      </c>
      <c r="M60" s="22">
        <f t="shared" si="5"/>
        <v>1.1921536495609612E-2</v>
      </c>
      <c r="N60" s="30">
        <v>1590</v>
      </c>
      <c r="O60" s="22">
        <f t="shared" si="6"/>
        <v>1.2485031703343084E-2</v>
      </c>
      <c r="P60" s="30">
        <v>2512</v>
      </c>
      <c r="Q60" s="22">
        <f t="shared" si="7"/>
        <v>2.1683834330326456E-2</v>
      </c>
      <c r="R60" s="30">
        <v>1590</v>
      </c>
      <c r="S60" s="22">
        <f t="shared" si="8"/>
        <v>1.2805833919126406E-2</v>
      </c>
      <c r="T60" s="30">
        <v>1590</v>
      </c>
      <c r="U60" s="22">
        <f t="shared" si="9"/>
        <v>1.331298149663031E-2</v>
      </c>
      <c r="V60" s="30">
        <v>1590</v>
      </c>
      <c r="W60" s="22">
        <f t="shared" si="10"/>
        <v>1.3594158786614456E-2</v>
      </c>
      <c r="X60" s="30"/>
      <c r="Y60" s="27">
        <f t="shared" si="11"/>
        <v>0</v>
      </c>
      <c r="Z60" s="17">
        <f t="shared" si="13"/>
        <v>18652</v>
      </c>
      <c r="AA60" s="11">
        <f t="shared" si="12"/>
        <v>1.1505042936904127E-2</v>
      </c>
    </row>
    <row r="61" spans="1:27" x14ac:dyDescent="0.25">
      <c r="A61" s="33" t="s">
        <v>51</v>
      </c>
      <c r="B61" s="30">
        <v>2675</v>
      </c>
      <c r="C61" s="22">
        <f t="shared" ref="C61:C103" si="14">IFERROR(B61/B$4,"")</f>
        <v>1.1999463141776147E-2</v>
      </c>
      <c r="D61" s="30">
        <v>1563</v>
      </c>
      <c r="E61" s="22">
        <f t="shared" ref="E61:E103" si="15">IFERROR(D61/D$4,"")</f>
        <v>1.1255605658883566E-2</v>
      </c>
      <c r="F61" s="30">
        <v>470</v>
      </c>
      <c r="G61" s="22">
        <f t="shared" ref="G61:G103" si="16">IFERROR(F61/F$4,"")</f>
        <v>3.9221207023466716E-3</v>
      </c>
      <c r="H61" s="30">
        <v>1298</v>
      </c>
      <c r="I61" s="22">
        <f t="shared" ref="I61:I103" si="17">IFERROR(H61/H$4,"")</f>
        <v>1.1402859148334681E-2</v>
      </c>
      <c r="J61" s="30">
        <v>470</v>
      </c>
      <c r="K61" s="22">
        <f t="shared" ref="K61:K103" si="18">IFERROR(J61/J$4,"")</f>
        <v>3.789458339662535E-3</v>
      </c>
      <c r="L61" s="30">
        <v>648</v>
      </c>
      <c r="M61" s="22">
        <f t="shared" ref="M61:M103" si="19">IFERROR(L61/L$4,"")</f>
        <v>4.8585884585880682E-3</v>
      </c>
      <c r="N61" s="30">
        <v>1608</v>
      </c>
      <c r="O61" s="22">
        <f t="shared" ref="O61:O103" si="20">IFERROR(N61/N$4,"")</f>
        <v>1.2626371684890364E-2</v>
      </c>
      <c r="P61" s="30">
        <v>1070</v>
      </c>
      <c r="Q61" s="22">
        <f t="shared" ref="Q61:Q103" si="21">IFERROR(P61/P$4,"")</f>
        <v>9.2363466295578463E-3</v>
      </c>
      <c r="R61" s="30">
        <v>900</v>
      </c>
      <c r="S61" s="22">
        <f t="shared" ref="S61:S103" si="22">IFERROR(R61/R$4,"")</f>
        <v>7.2485852372413621E-3</v>
      </c>
      <c r="T61" s="30">
        <v>819</v>
      </c>
      <c r="U61" s="22">
        <f t="shared" ref="U61:U103" si="23">IFERROR(T61/T$4,"")</f>
        <v>6.8574414124152354E-3</v>
      </c>
      <c r="V61" s="30">
        <v>0</v>
      </c>
      <c r="W61" s="22">
        <f t="shared" ref="W61:W103" si="24">IFERROR(V61/V$4,"")</f>
        <v>0</v>
      </c>
      <c r="X61" s="30">
        <v>1618.53</v>
      </c>
      <c r="Y61" s="27">
        <f t="shared" ref="Y61:Y103" si="25">IFERROR(X61/X$4,"")</f>
        <v>9.8336404884029893E-3</v>
      </c>
      <c r="Z61" s="17">
        <f t="shared" si="13"/>
        <v>13139.53</v>
      </c>
      <c r="AA61" s="11">
        <f t="shared" ref="AA61:AA103" si="26">IFERROR(Z61/Z$4,"")</f>
        <v>8.1048068207559467E-3</v>
      </c>
    </row>
    <row r="62" spans="1:27" x14ac:dyDescent="0.25">
      <c r="A62" s="33" t="s">
        <v>26</v>
      </c>
      <c r="B62" s="30">
        <v>1097</v>
      </c>
      <c r="C62" s="22">
        <f t="shared" si="14"/>
        <v>4.9209013332816567E-3</v>
      </c>
      <c r="D62" s="30">
        <v>1080</v>
      </c>
      <c r="E62" s="22">
        <f t="shared" si="15"/>
        <v>7.7773858679425793E-3</v>
      </c>
      <c r="F62" s="30">
        <v>1060</v>
      </c>
      <c r="G62" s="22">
        <f t="shared" si="16"/>
        <v>8.84563392444143E-3</v>
      </c>
      <c r="H62" s="30">
        <v>0</v>
      </c>
      <c r="I62" s="22">
        <f t="shared" si="17"/>
        <v>0</v>
      </c>
      <c r="J62" s="30">
        <v>449.5</v>
      </c>
      <c r="K62" s="22">
        <f t="shared" si="18"/>
        <v>3.624173454634701E-3</v>
      </c>
      <c r="L62" s="30">
        <v>980</v>
      </c>
      <c r="M62" s="22">
        <f t="shared" si="19"/>
        <v>7.3478652614449181E-3</v>
      </c>
      <c r="N62" s="30">
        <v>305</v>
      </c>
      <c r="O62" s="22">
        <f t="shared" si="20"/>
        <v>2.3949274651066921E-3</v>
      </c>
      <c r="P62" s="30">
        <v>190</v>
      </c>
      <c r="Q62" s="22">
        <f t="shared" si="21"/>
        <v>1.640098934220552E-3</v>
      </c>
      <c r="R62" s="30">
        <v>450</v>
      </c>
      <c r="S62" s="22">
        <f t="shared" si="22"/>
        <v>3.624292618620681E-3</v>
      </c>
      <c r="T62" s="30">
        <v>315</v>
      </c>
      <c r="U62" s="22">
        <f t="shared" si="23"/>
        <v>2.6374774663135521E-3</v>
      </c>
      <c r="V62" s="30">
        <v>589</v>
      </c>
      <c r="W62" s="22">
        <f t="shared" si="24"/>
        <v>5.0358236008276195E-3</v>
      </c>
      <c r="X62" s="30">
        <v>522</v>
      </c>
      <c r="Y62" s="27">
        <f t="shared" si="25"/>
        <v>3.1714953290617786E-3</v>
      </c>
      <c r="Z62" s="17">
        <f t="shared" si="13"/>
        <v>7037.5</v>
      </c>
      <c r="AA62" s="11">
        <f t="shared" si="26"/>
        <v>4.3409146294479308E-3</v>
      </c>
    </row>
    <row r="63" spans="1:27" x14ac:dyDescent="0.25">
      <c r="A63" s="33" t="s">
        <v>39</v>
      </c>
      <c r="B63" s="30">
        <v>457</v>
      </c>
      <c r="C63" s="22">
        <f t="shared" si="14"/>
        <v>2.0500017404828782E-3</v>
      </c>
      <c r="D63" s="30">
        <v>457</v>
      </c>
      <c r="E63" s="22">
        <f t="shared" si="15"/>
        <v>3.2909864274534802E-3</v>
      </c>
      <c r="F63" s="30">
        <v>457</v>
      </c>
      <c r="G63" s="22">
        <f t="shared" si="16"/>
        <v>3.8136365127072955E-3</v>
      </c>
      <c r="H63" s="30">
        <v>457</v>
      </c>
      <c r="I63" s="22">
        <f t="shared" si="17"/>
        <v>4.0147200545369412E-3</v>
      </c>
      <c r="J63" s="30">
        <v>457</v>
      </c>
      <c r="K63" s="22">
        <f t="shared" si="18"/>
        <v>3.6846435345229329E-3</v>
      </c>
      <c r="L63" s="30">
        <v>457</v>
      </c>
      <c r="M63" s="22">
        <f t="shared" si="19"/>
        <v>3.4265045147758447E-3</v>
      </c>
      <c r="N63" s="30">
        <v>457</v>
      </c>
      <c r="O63" s="22">
        <f t="shared" si="20"/>
        <v>3.5884650870615024E-3</v>
      </c>
      <c r="P63" s="30">
        <v>457</v>
      </c>
      <c r="Q63" s="22">
        <f t="shared" si="21"/>
        <v>3.9448695417831177E-3</v>
      </c>
      <c r="R63" s="30">
        <v>457</v>
      </c>
      <c r="S63" s="22">
        <f t="shared" si="22"/>
        <v>3.680670503799225E-3</v>
      </c>
      <c r="T63" s="30">
        <v>457</v>
      </c>
      <c r="U63" s="22">
        <f t="shared" si="23"/>
        <v>3.8264355622390262E-3</v>
      </c>
      <c r="V63" s="30">
        <v>457</v>
      </c>
      <c r="W63" s="22">
        <f t="shared" si="24"/>
        <v>3.9072519279766075E-3</v>
      </c>
      <c r="X63" s="30">
        <v>494.62</v>
      </c>
      <c r="Y63" s="27">
        <f t="shared" si="25"/>
        <v>3.0051437158247836E-3</v>
      </c>
      <c r="Z63" s="17">
        <f t="shared" si="13"/>
        <v>5521.62</v>
      </c>
      <c r="AA63" s="11">
        <f t="shared" si="26"/>
        <v>3.4058800761992587E-3</v>
      </c>
    </row>
    <row r="64" spans="1:27" x14ac:dyDescent="0.25">
      <c r="A64" s="33" t="s">
        <v>49</v>
      </c>
      <c r="B64" s="30">
        <v>211</v>
      </c>
      <c r="C64" s="22">
        <f t="shared" si="14"/>
        <v>9.4649970950084735E-4</v>
      </c>
      <c r="D64" s="30">
        <v>228</v>
      </c>
      <c r="E64" s="22">
        <f t="shared" si="15"/>
        <v>1.6418925721212113E-3</v>
      </c>
      <c r="F64" s="30">
        <v>228</v>
      </c>
      <c r="G64" s="22">
        <f t="shared" si="16"/>
        <v>1.902645787521364E-3</v>
      </c>
      <c r="H64" s="30">
        <v>228</v>
      </c>
      <c r="I64" s="22">
        <f t="shared" si="17"/>
        <v>2.0029675545610998E-3</v>
      </c>
      <c r="J64" s="30">
        <v>228</v>
      </c>
      <c r="K64" s="22">
        <f t="shared" si="18"/>
        <v>1.8382904286022511E-3</v>
      </c>
      <c r="L64" s="30">
        <v>228</v>
      </c>
      <c r="M64" s="22">
        <f t="shared" si="19"/>
        <v>1.7095033465402464E-3</v>
      </c>
      <c r="N64" s="30">
        <v>228</v>
      </c>
      <c r="O64" s="22">
        <f t="shared" si="20"/>
        <v>1.7903064329322157E-3</v>
      </c>
      <c r="P64" s="30">
        <v>228</v>
      </c>
      <c r="Q64" s="22">
        <f t="shared" si="21"/>
        <v>1.9681187210646624E-3</v>
      </c>
      <c r="R64" s="30">
        <v>228.72</v>
      </c>
      <c r="S64" s="22">
        <f t="shared" si="22"/>
        <v>1.8421071282909381E-3</v>
      </c>
      <c r="T64" s="30">
        <v>232</v>
      </c>
      <c r="U64" s="22">
        <f t="shared" si="23"/>
        <v>1.9425230863007747E-3</v>
      </c>
      <c r="V64" s="30">
        <v>233</v>
      </c>
      <c r="W64" s="22">
        <f t="shared" si="24"/>
        <v>1.9920999982900429E-3</v>
      </c>
      <c r="X64" s="30">
        <v>233</v>
      </c>
      <c r="Y64" s="27">
        <f t="shared" si="25"/>
        <v>1.4156291411329396E-3</v>
      </c>
      <c r="Z64" s="17">
        <f t="shared" si="13"/>
        <v>2733.7200000000003</v>
      </c>
      <c r="AA64" s="11">
        <f t="shared" si="26"/>
        <v>1.6862302153910335E-3</v>
      </c>
    </row>
    <row r="65" spans="1:27" x14ac:dyDescent="0.25">
      <c r="A65" s="33"/>
      <c r="B65" s="30"/>
      <c r="C65" s="22"/>
      <c r="D65" s="30"/>
      <c r="E65" s="22"/>
      <c r="F65" s="30"/>
      <c r="G65" s="22"/>
      <c r="H65" s="30"/>
      <c r="I65" s="22"/>
      <c r="J65" s="30"/>
      <c r="K65" s="22"/>
      <c r="L65" s="30"/>
      <c r="M65" s="22"/>
      <c r="N65" s="30"/>
      <c r="O65" s="22"/>
      <c r="P65" s="30"/>
      <c r="Q65" s="22"/>
      <c r="R65" s="30"/>
      <c r="S65" s="22"/>
      <c r="T65" s="30"/>
      <c r="U65" s="22"/>
      <c r="V65" s="30"/>
      <c r="W65" s="22"/>
      <c r="X65" s="30"/>
      <c r="Y65" s="27"/>
      <c r="Z65" s="17"/>
      <c r="AA65" s="11"/>
    </row>
    <row r="66" spans="1:27" x14ac:dyDescent="0.25">
      <c r="A66" s="33"/>
      <c r="B66" s="30"/>
      <c r="C66" s="22"/>
      <c r="D66" s="30"/>
      <c r="E66" s="22"/>
      <c r="F66" s="30"/>
      <c r="G66" s="22"/>
      <c r="H66" s="30"/>
      <c r="I66" s="22"/>
      <c r="J66" s="30"/>
      <c r="K66" s="22"/>
      <c r="L66" s="30"/>
      <c r="M66" s="22"/>
      <c r="N66" s="30"/>
      <c r="O66" s="22"/>
      <c r="P66" s="30"/>
      <c r="Q66" s="22"/>
      <c r="R66" s="30"/>
      <c r="S66" s="22"/>
      <c r="T66" s="30"/>
      <c r="U66" s="22"/>
      <c r="V66" s="30"/>
      <c r="W66" s="22"/>
      <c r="X66" s="30"/>
      <c r="Y66" s="27"/>
      <c r="Z66" s="17"/>
      <c r="AA66" s="11"/>
    </row>
    <row r="67" spans="1:27" x14ac:dyDescent="0.25">
      <c r="A67" s="33"/>
      <c r="B67" s="30"/>
      <c r="C67" s="22"/>
      <c r="D67" s="30"/>
      <c r="E67" s="22"/>
      <c r="F67" s="30"/>
      <c r="G67" s="22"/>
      <c r="H67" s="30"/>
      <c r="I67" s="22"/>
      <c r="J67" s="30"/>
      <c r="K67" s="22"/>
      <c r="L67" s="30"/>
      <c r="M67" s="22"/>
      <c r="N67" s="30"/>
      <c r="O67" s="22"/>
      <c r="P67" s="30"/>
      <c r="Q67" s="22"/>
      <c r="R67" s="30"/>
      <c r="S67" s="22"/>
      <c r="T67" s="30"/>
      <c r="U67" s="22"/>
      <c r="V67" s="30"/>
      <c r="W67" s="22"/>
      <c r="X67" s="30"/>
      <c r="Y67" s="27"/>
      <c r="Z67" s="17"/>
      <c r="AA67" s="11"/>
    </row>
    <row r="68" spans="1:27" x14ac:dyDescent="0.25">
      <c r="A68" s="33"/>
      <c r="B68" s="30"/>
      <c r="C68" s="22"/>
      <c r="D68" s="30"/>
      <c r="E68" s="22"/>
      <c r="F68" s="30"/>
      <c r="G68" s="22"/>
      <c r="H68" s="30"/>
      <c r="I68" s="22"/>
      <c r="J68" s="30"/>
      <c r="K68" s="22"/>
      <c r="L68" s="30"/>
      <c r="M68" s="22"/>
      <c r="N68" s="30"/>
      <c r="O68" s="22"/>
      <c r="P68" s="30"/>
      <c r="Q68" s="22"/>
      <c r="R68" s="30"/>
      <c r="S68" s="22"/>
      <c r="T68" s="30"/>
      <c r="U68" s="22"/>
      <c r="V68" s="30"/>
      <c r="W68" s="22"/>
      <c r="X68" s="30"/>
      <c r="Y68" s="27"/>
      <c r="Z68" s="17"/>
      <c r="AA68" s="11"/>
    </row>
    <row r="69" spans="1:27" x14ac:dyDescent="0.25">
      <c r="A69" s="33"/>
      <c r="B69" s="30"/>
      <c r="C69" s="22"/>
      <c r="D69" s="30"/>
      <c r="E69" s="22"/>
      <c r="F69" s="30"/>
      <c r="G69" s="22"/>
      <c r="H69" s="30"/>
      <c r="I69" s="22"/>
      <c r="J69" s="30"/>
      <c r="K69" s="22"/>
      <c r="L69" s="30"/>
      <c r="M69" s="22"/>
      <c r="N69" s="30"/>
      <c r="O69" s="22"/>
      <c r="P69" s="30"/>
      <c r="Q69" s="22"/>
      <c r="R69" s="30"/>
      <c r="S69" s="22"/>
      <c r="T69" s="30"/>
      <c r="U69" s="22"/>
      <c r="V69" s="30"/>
      <c r="W69" s="22"/>
      <c r="X69" s="30"/>
      <c r="Y69" s="27"/>
      <c r="Z69" s="17"/>
      <c r="AA69" s="11"/>
    </row>
    <row r="70" spans="1:27" x14ac:dyDescent="0.25">
      <c r="A70" s="33"/>
      <c r="B70" s="30"/>
      <c r="C70" s="22"/>
      <c r="D70" s="30"/>
      <c r="E70" s="22"/>
      <c r="F70" s="30"/>
      <c r="G70" s="22"/>
      <c r="H70" s="30"/>
      <c r="I70" s="22"/>
      <c r="J70" s="30"/>
      <c r="K70" s="22"/>
      <c r="L70" s="30"/>
      <c r="M70" s="22"/>
      <c r="N70" s="30"/>
      <c r="O70" s="22"/>
      <c r="P70" s="30"/>
      <c r="Q70" s="22"/>
      <c r="R70" s="30"/>
      <c r="S70" s="22"/>
      <c r="T70" s="30"/>
      <c r="U70" s="22"/>
      <c r="V70" s="30"/>
      <c r="W70" s="22"/>
      <c r="X70" s="30"/>
      <c r="Y70" s="27"/>
      <c r="Z70" s="17"/>
      <c r="AA70" s="11"/>
    </row>
    <row r="71" spans="1:27" x14ac:dyDescent="0.25">
      <c r="A71" s="33"/>
      <c r="B71" s="30"/>
      <c r="C71" s="22"/>
      <c r="D71" s="30"/>
      <c r="E71" s="22"/>
      <c r="F71" s="30"/>
      <c r="G71" s="22"/>
      <c r="H71" s="30"/>
      <c r="I71" s="22"/>
      <c r="J71" s="30"/>
      <c r="K71" s="22"/>
      <c r="L71" s="30"/>
      <c r="M71" s="22"/>
      <c r="N71" s="30"/>
      <c r="O71" s="22"/>
      <c r="P71" s="30"/>
      <c r="Q71" s="22"/>
      <c r="R71" s="30"/>
      <c r="S71" s="22"/>
      <c r="T71" s="30"/>
      <c r="U71" s="22"/>
      <c r="V71" s="30"/>
      <c r="W71" s="22"/>
      <c r="X71" s="30"/>
      <c r="Y71" s="27"/>
      <c r="Z71" s="17"/>
      <c r="AA71" s="11"/>
    </row>
    <row r="72" spans="1:27" x14ac:dyDescent="0.25">
      <c r="A72" s="33"/>
      <c r="B72" s="30"/>
      <c r="C72" s="22"/>
      <c r="D72" s="30"/>
      <c r="E72" s="22"/>
      <c r="F72" s="30"/>
      <c r="G72" s="22"/>
      <c r="H72" s="30"/>
      <c r="I72" s="22"/>
      <c r="J72" s="30"/>
      <c r="K72" s="22"/>
      <c r="L72" s="30"/>
      <c r="M72" s="22"/>
      <c r="N72" s="30"/>
      <c r="O72" s="22"/>
      <c r="P72" s="30"/>
      <c r="Q72" s="22"/>
      <c r="R72" s="30"/>
      <c r="S72" s="22"/>
      <c r="T72" s="30"/>
      <c r="U72" s="22"/>
      <c r="V72" s="30"/>
      <c r="W72" s="22"/>
      <c r="X72" s="30"/>
      <c r="Y72" s="27"/>
      <c r="Z72" s="17"/>
      <c r="AA72" s="11"/>
    </row>
    <row r="73" spans="1:27" x14ac:dyDescent="0.25">
      <c r="A73" s="33"/>
      <c r="B73" s="30"/>
      <c r="C73" s="22"/>
      <c r="D73" s="30"/>
      <c r="E73" s="22"/>
      <c r="F73" s="30"/>
      <c r="G73" s="22"/>
      <c r="H73" s="30"/>
      <c r="I73" s="22"/>
      <c r="J73" s="30"/>
      <c r="K73" s="22"/>
      <c r="L73" s="30"/>
      <c r="M73" s="22"/>
      <c r="N73" s="30"/>
      <c r="O73" s="22"/>
      <c r="P73" s="30"/>
      <c r="Q73" s="22"/>
      <c r="R73" s="30"/>
      <c r="S73" s="22"/>
      <c r="T73" s="30"/>
      <c r="U73" s="22"/>
      <c r="V73" s="30"/>
      <c r="W73" s="22"/>
      <c r="X73" s="30"/>
      <c r="Y73" s="27"/>
      <c r="Z73" s="17"/>
      <c r="AA73" s="11"/>
    </row>
    <row r="74" spans="1:27" x14ac:dyDescent="0.25">
      <c r="A74" s="33"/>
      <c r="B74" s="30"/>
      <c r="C74" s="22"/>
      <c r="D74" s="30"/>
      <c r="E74" s="22"/>
      <c r="F74" s="30"/>
      <c r="G74" s="22"/>
      <c r="H74" s="30"/>
      <c r="I74" s="22"/>
      <c r="J74" s="30"/>
      <c r="K74" s="22"/>
      <c r="L74" s="30"/>
      <c r="M74" s="22"/>
      <c r="N74" s="30"/>
      <c r="O74" s="22"/>
      <c r="P74" s="30"/>
      <c r="Q74" s="22"/>
      <c r="R74" s="30"/>
      <c r="S74" s="22"/>
      <c r="T74" s="30"/>
      <c r="U74" s="22"/>
      <c r="V74" s="30"/>
      <c r="W74" s="22"/>
      <c r="X74" s="30"/>
      <c r="Y74" s="27"/>
      <c r="Z74" s="17"/>
      <c r="AA74" s="11"/>
    </row>
    <row r="75" spans="1:27" x14ac:dyDescent="0.25">
      <c r="A75" s="33"/>
      <c r="B75" s="30"/>
      <c r="C75" s="22"/>
      <c r="D75" s="30"/>
      <c r="E75" s="22"/>
      <c r="F75" s="30"/>
      <c r="G75" s="22"/>
      <c r="H75" s="30"/>
      <c r="I75" s="22"/>
      <c r="J75" s="30"/>
      <c r="K75" s="22"/>
      <c r="L75" s="30"/>
      <c r="M75" s="22"/>
      <c r="N75" s="30"/>
      <c r="O75" s="22"/>
      <c r="P75" s="30"/>
      <c r="Q75" s="22"/>
      <c r="R75" s="30"/>
      <c r="S75" s="22"/>
      <c r="T75" s="30"/>
      <c r="U75" s="22"/>
      <c r="V75" s="30"/>
      <c r="W75" s="22"/>
      <c r="X75" s="30"/>
      <c r="Y75" s="27"/>
      <c r="Z75" s="17"/>
      <c r="AA75" s="11"/>
    </row>
    <row r="76" spans="1:27" x14ac:dyDescent="0.25">
      <c r="A76" s="33" t="s">
        <v>54</v>
      </c>
      <c r="B76" s="30">
        <v>285</v>
      </c>
      <c r="C76" s="22">
        <f t="shared" si="14"/>
        <v>1.2784474749182062E-3</v>
      </c>
      <c r="D76" s="30">
        <v>0</v>
      </c>
      <c r="E76" s="22">
        <f t="shared" si="15"/>
        <v>0</v>
      </c>
      <c r="F76" s="30">
        <v>0</v>
      </c>
      <c r="G76" s="22">
        <f t="shared" si="16"/>
        <v>0</v>
      </c>
      <c r="H76" s="30">
        <v>0</v>
      </c>
      <c r="I76" s="22">
        <f t="shared" si="17"/>
        <v>0</v>
      </c>
      <c r="J76" s="30">
        <v>6.1</v>
      </c>
      <c r="K76" s="22">
        <f t="shared" si="18"/>
        <v>4.9182331642428646E-5</v>
      </c>
      <c r="L76" s="30">
        <v>230</v>
      </c>
      <c r="M76" s="22">
        <f t="shared" si="19"/>
        <v>1.7244989899309502E-3</v>
      </c>
      <c r="N76" s="30">
        <v>89</v>
      </c>
      <c r="O76" s="22">
        <f t="shared" si="20"/>
        <v>6.9884768653932978E-4</v>
      </c>
      <c r="P76" s="30">
        <v>0</v>
      </c>
      <c r="Q76" s="22">
        <f t="shared" si="21"/>
        <v>0</v>
      </c>
      <c r="R76" s="30">
        <v>165</v>
      </c>
      <c r="S76" s="22">
        <f t="shared" si="22"/>
        <v>1.3289072934942498E-3</v>
      </c>
      <c r="T76" s="30">
        <v>192.1</v>
      </c>
      <c r="U76" s="22">
        <f t="shared" si="23"/>
        <v>1.6084426072343915E-3</v>
      </c>
      <c r="V76" s="30">
        <v>0</v>
      </c>
      <c r="W76" s="22">
        <f t="shared" si="24"/>
        <v>0</v>
      </c>
      <c r="X76" s="30">
        <v>465.15</v>
      </c>
      <c r="Y76" s="27">
        <f t="shared" si="25"/>
        <v>2.826093969948441E-3</v>
      </c>
      <c r="Z76" s="17">
        <f t="shared" si="13"/>
        <v>1432.35</v>
      </c>
      <c r="AA76" s="11">
        <f t="shared" si="26"/>
        <v>8.8351105783157982E-4</v>
      </c>
    </row>
    <row r="77" spans="1:27" x14ac:dyDescent="0.25">
      <c r="A77" s="33" t="s">
        <v>55</v>
      </c>
      <c r="B77" s="30">
        <v>7000</v>
      </c>
      <c r="C77" s="22">
        <f t="shared" si="14"/>
        <v>3.1400464296236642E-2</v>
      </c>
      <c r="D77" s="30">
        <v>7000</v>
      </c>
      <c r="E77" s="22">
        <f t="shared" si="15"/>
        <v>5.0408982477405606E-2</v>
      </c>
      <c r="F77" s="30">
        <v>7000</v>
      </c>
      <c r="G77" s="22">
        <f t="shared" si="16"/>
        <v>5.8414563651971702E-2</v>
      </c>
      <c r="H77" s="30">
        <v>7000</v>
      </c>
      <c r="I77" s="22">
        <f t="shared" si="17"/>
        <v>6.1494617903191655E-2</v>
      </c>
      <c r="J77" s="30">
        <v>7000</v>
      </c>
      <c r="K77" s="22">
        <f t="shared" si="18"/>
        <v>5.643874122901648E-2</v>
      </c>
      <c r="L77" s="30">
        <v>7000</v>
      </c>
      <c r="M77" s="22">
        <f t="shared" si="19"/>
        <v>5.2484751867463701E-2</v>
      </c>
      <c r="N77" s="30">
        <v>7000</v>
      </c>
      <c r="O77" s="22">
        <f t="shared" si="20"/>
        <v>5.4965548379497853E-2</v>
      </c>
      <c r="P77" s="30">
        <v>7000</v>
      </c>
      <c r="Q77" s="22">
        <f t="shared" si="21"/>
        <v>6.0424697576546657E-2</v>
      </c>
      <c r="R77" s="30">
        <v>7000</v>
      </c>
      <c r="S77" s="22">
        <f t="shared" si="22"/>
        <v>5.6377885178543925E-2</v>
      </c>
      <c r="T77" s="30">
        <v>7000</v>
      </c>
      <c r="U77" s="22">
        <f t="shared" si="23"/>
        <v>5.861061036252338E-2</v>
      </c>
      <c r="V77" s="30">
        <v>7000</v>
      </c>
      <c r="W77" s="22">
        <f t="shared" si="24"/>
        <v>5.9848497802705153E-2</v>
      </c>
      <c r="X77" s="30">
        <v>7000</v>
      </c>
      <c r="Y77" s="27">
        <f t="shared" si="25"/>
        <v>4.2529630849487451E-2</v>
      </c>
      <c r="Z77" s="17">
        <f t="shared" si="13"/>
        <v>84000</v>
      </c>
      <c r="AA77" s="11">
        <f t="shared" si="26"/>
        <v>5.1813403747584537E-2</v>
      </c>
    </row>
    <row r="78" spans="1:27" x14ac:dyDescent="0.25">
      <c r="A78" s="33" t="s">
        <v>40</v>
      </c>
      <c r="B78" s="30">
        <v>3105.53</v>
      </c>
      <c r="C78" s="22">
        <f t="shared" si="14"/>
        <v>1.3930726269413113E-2</v>
      </c>
      <c r="D78" s="30">
        <v>3105</v>
      </c>
      <c r="E78" s="22">
        <f t="shared" si="15"/>
        <v>2.2359984370334915E-2</v>
      </c>
      <c r="F78" s="30">
        <v>3105</v>
      </c>
      <c r="G78" s="22">
        <f t="shared" si="16"/>
        <v>2.5911031448481732E-2</v>
      </c>
      <c r="H78" s="30">
        <v>3105</v>
      </c>
      <c r="I78" s="22">
        <f t="shared" si="17"/>
        <v>2.727725551277287E-2</v>
      </c>
      <c r="J78" s="30">
        <v>3105</v>
      </c>
      <c r="K78" s="22">
        <f t="shared" si="18"/>
        <v>2.5034613073728024E-2</v>
      </c>
      <c r="L78" s="30">
        <v>3105</v>
      </c>
      <c r="M78" s="22">
        <f t="shared" si="19"/>
        <v>2.3280736364067828E-2</v>
      </c>
      <c r="N78" s="30">
        <v>3105</v>
      </c>
      <c r="O78" s="22">
        <f t="shared" si="20"/>
        <v>2.4381146816905831E-2</v>
      </c>
      <c r="P78" s="30">
        <v>3105</v>
      </c>
      <c r="Q78" s="22">
        <f t="shared" si="21"/>
        <v>2.6802669425025339E-2</v>
      </c>
      <c r="R78" s="30">
        <v>3105</v>
      </c>
      <c r="S78" s="22">
        <f t="shared" si="22"/>
        <v>2.50076190684827E-2</v>
      </c>
      <c r="T78" s="30">
        <v>3105</v>
      </c>
      <c r="U78" s="22">
        <f t="shared" si="23"/>
        <v>2.5997992167947868E-2</v>
      </c>
      <c r="V78" s="30">
        <v>0</v>
      </c>
      <c r="W78" s="22">
        <f t="shared" si="24"/>
        <v>0</v>
      </c>
      <c r="X78" s="30">
        <v>0</v>
      </c>
      <c r="Y78" s="27">
        <f t="shared" si="25"/>
        <v>0</v>
      </c>
      <c r="Z78" s="17">
        <f t="shared" si="13"/>
        <v>31050.53</v>
      </c>
      <c r="AA78" s="11">
        <f t="shared" si="26"/>
        <v>1.9152781517458167E-2</v>
      </c>
    </row>
    <row r="79" spans="1:27" x14ac:dyDescent="0.25">
      <c r="A79" s="33" t="s">
        <v>56</v>
      </c>
      <c r="B79" s="30">
        <v>3132</v>
      </c>
      <c r="C79" s="22">
        <f t="shared" si="14"/>
        <v>1.4049464882259024E-2</v>
      </c>
      <c r="D79" s="30">
        <v>3132</v>
      </c>
      <c r="E79" s="22">
        <f t="shared" si="15"/>
        <v>2.2554419017033481E-2</v>
      </c>
      <c r="F79" s="30">
        <v>3132</v>
      </c>
      <c r="G79" s="22">
        <f t="shared" si="16"/>
        <v>2.6136344765425052E-2</v>
      </c>
      <c r="H79" s="30">
        <v>3132</v>
      </c>
      <c r="I79" s="22">
        <f t="shared" si="17"/>
        <v>2.7514449038970896E-2</v>
      </c>
      <c r="J79" s="30">
        <v>3132</v>
      </c>
      <c r="K79" s="22">
        <f t="shared" si="18"/>
        <v>2.525230536132566E-2</v>
      </c>
      <c r="L79" s="30">
        <v>3132</v>
      </c>
      <c r="M79" s="22">
        <f t="shared" si="19"/>
        <v>2.3483177549842332E-2</v>
      </c>
      <c r="N79" s="30">
        <v>3132</v>
      </c>
      <c r="O79" s="22">
        <f t="shared" si="20"/>
        <v>2.4593156789226751E-2</v>
      </c>
      <c r="P79" s="30">
        <v>3132</v>
      </c>
      <c r="Q79" s="22">
        <f t="shared" si="21"/>
        <v>2.7035736115677732E-2</v>
      </c>
      <c r="R79" s="30">
        <v>3132</v>
      </c>
      <c r="S79" s="22">
        <f t="shared" si="22"/>
        <v>2.5225076625599939E-2</v>
      </c>
      <c r="T79" s="30">
        <v>3132</v>
      </c>
      <c r="U79" s="22">
        <f t="shared" si="23"/>
        <v>2.6224061665060458E-2</v>
      </c>
      <c r="V79" s="30">
        <v>3132</v>
      </c>
      <c r="W79" s="22">
        <f t="shared" si="24"/>
        <v>2.6777927874010364E-2</v>
      </c>
      <c r="X79" s="30">
        <v>3132</v>
      </c>
      <c r="Y79" s="27">
        <f t="shared" si="25"/>
        <v>1.9028971974370673E-2</v>
      </c>
      <c r="Z79" s="17">
        <f t="shared" si="13"/>
        <v>37584</v>
      </c>
      <c r="AA79" s="11">
        <f t="shared" si="26"/>
        <v>2.3182797219633539E-2</v>
      </c>
    </row>
    <row r="80" spans="1:27" x14ac:dyDescent="0.25">
      <c r="A80" s="33" t="s">
        <v>78</v>
      </c>
      <c r="B80" s="30">
        <v>1184.2</v>
      </c>
      <c r="C80" s="22">
        <f t="shared" si="14"/>
        <v>5.3120614028004907E-3</v>
      </c>
      <c r="D80" s="30">
        <v>1644.25</v>
      </c>
      <c r="E80" s="22">
        <f t="shared" si="15"/>
        <v>1.1840709919782024E-2</v>
      </c>
      <c r="F80" s="30">
        <v>1876</v>
      </c>
      <c r="G80" s="22">
        <f t="shared" si="16"/>
        <v>1.5655103058728415E-2</v>
      </c>
      <c r="H80" s="30">
        <v>2300</v>
      </c>
      <c r="I80" s="22">
        <f t="shared" si="17"/>
        <v>2.0205374453905831E-2</v>
      </c>
      <c r="J80" s="30">
        <v>2163</v>
      </c>
      <c r="K80" s="22">
        <f t="shared" si="18"/>
        <v>1.7439571039766091E-2</v>
      </c>
      <c r="L80" s="30">
        <v>1746</v>
      </c>
      <c r="M80" s="22">
        <f t="shared" si="19"/>
        <v>1.3091196680084518E-2</v>
      </c>
      <c r="N80" s="30">
        <v>1307.69</v>
      </c>
      <c r="O80" s="22">
        <f t="shared" si="20"/>
        <v>1.0268271137197936E-2</v>
      </c>
      <c r="P80" s="30">
        <v>1446.14</v>
      </c>
      <c r="Q80" s="22">
        <f t="shared" si="21"/>
        <v>1.2483224593335313E-2</v>
      </c>
      <c r="R80" s="30">
        <v>1447</v>
      </c>
      <c r="S80" s="22">
        <f t="shared" si="22"/>
        <v>1.1654114264764724E-2</v>
      </c>
      <c r="T80" s="30">
        <v>1183.1199999999999</v>
      </c>
      <c r="U80" s="22">
        <f t="shared" si="23"/>
        <v>9.9061979045869508E-3</v>
      </c>
      <c r="V80" s="30">
        <v>440</v>
      </c>
      <c r="W80" s="22">
        <f t="shared" si="24"/>
        <v>3.7619055761700382E-3</v>
      </c>
      <c r="X80" s="30">
        <v>102.82</v>
      </c>
      <c r="Y80" s="27">
        <f t="shared" si="25"/>
        <v>6.2469952056347139E-4</v>
      </c>
      <c r="Z80" s="17">
        <f t="shared" si="13"/>
        <v>16840.22</v>
      </c>
      <c r="AA80" s="11">
        <f t="shared" si="26"/>
        <v>1.0387489500692239E-2</v>
      </c>
    </row>
    <row r="81" spans="1:27" x14ac:dyDescent="0.25">
      <c r="A81" s="33" t="s">
        <v>59</v>
      </c>
      <c r="B81" s="30">
        <v>1163.1400000000001</v>
      </c>
      <c r="C81" s="22">
        <f t="shared" si="14"/>
        <v>5.2175908630749564E-3</v>
      </c>
      <c r="D81" s="30">
        <v>1200</v>
      </c>
      <c r="E81" s="22">
        <f t="shared" si="15"/>
        <v>8.6415398532695333E-3</v>
      </c>
      <c r="F81" s="30">
        <v>742.3</v>
      </c>
      <c r="G81" s="22">
        <f t="shared" si="16"/>
        <v>6.19444722840837E-3</v>
      </c>
      <c r="H81" s="30">
        <v>1400</v>
      </c>
      <c r="I81" s="22">
        <f t="shared" si="17"/>
        <v>1.2298923580638331E-2</v>
      </c>
      <c r="J81" s="30">
        <v>987</v>
      </c>
      <c r="K81" s="22">
        <f t="shared" si="18"/>
        <v>7.9578625132913239E-3</v>
      </c>
      <c r="L81" s="30">
        <v>1400</v>
      </c>
      <c r="M81" s="22">
        <f t="shared" si="19"/>
        <v>1.049695037349274E-2</v>
      </c>
      <c r="N81" s="30">
        <v>1400</v>
      </c>
      <c r="O81" s="22">
        <f t="shared" si="20"/>
        <v>1.099310967589957E-2</v>
      </c>
      <c r="P81" s="30">
        <v>1400</v>
      </c>
      <c r="Q81" s="22">
        <f t="shared" si="21"/>
        <v>1.2084939515309331E-2</v>
      </c>
      <c r="R81" s="30">
        <v>1400</v>
      </c>
      <c r="S81" s="22">
        <f t="shared" si="22"/>
        <v>1.1275577035708785E-2</v>
      </c>
      <c r="T81" s="30">
        <v>1400</v>
      </c>
      <c r="U81" s="22">
        <f t="shared" si="23"/>
        <v>1.1722122072504676E-2</v>
      </c>
      <c r="V81" s="30">
        <v>1400</v>
      </c>
      <c r="W81" s="22">
        <f t="shared" si="24"/>
        <v>1.1969699560541031E-2</v>
      </c>
      <c r="X81" s="30">
        <v>1500</v>
      </c>
      <c r="Y81" s="27">
        <f t="shared" si="25"/>
        <v>9.1134923248901677E-3</v>
      </c>
      <c r="Z81" s="17">
        <f t="shared" si="13"/>
        <v>15392.44</v>
      </c>
      <c r="AA81" s="11">
        <f t="shared" si="26"/>
        <v>9.4944608140532152E-3</v>
      </c>
    </row>
    <row r="82" spans="1:27" x14ac:dyDescent="0.25">
      <c r="A82" s="33" t="s">
        <v>67</v>
      </c>
      <c r="B82" s="30">
        <v>171</v>
      </c>
      <c r="C82" s="22">
        <f t="shared" si="14"/>
        <v>7.6706848495092369E-4</v>
      </c>
      <c r="D82" s="30">
        <v>171</v>
      </c>
      <c r="E82" s="22">
        <f t="shared" si="15"/>
        <v>1.2314194290909085E-3</v>
      </c>
      <c r="F82" s="30">
        <v>171</v>
      </c>
      <c r="G82" s="22">
        <f t="shared" si="16"/>
        <v>1.426984340641023E-3</v>
      </c>
      <c r="H82" s="30">
        <v>171</v>
      </c>
      <c r="I82" s="22">
        <f t="shared" si="17"/>
        <v>1.5022256659208248E-3</v>
      </c>
      <c r="J82" s="30">
        <v>171</v>
      </c>
      <c r="K82" s="22">
        <f t="shared" si="18"/>
        <v>1.3787178214516884E-3</v>
      </c>
      <c r="L82" s="30">
        <v>171</v>
      </c>
      <c r="M82" s="22">
        <f t="shared" si="19"/>
        <v>1.2821275099051848E-3</v>
      </c>
      <c r="N82" s="30">
        <v>171</v>
      </c>
      <c r="O82" s="22">
        <f t="shared" si="20"/>
        <v>1.3427298246991618E-3</v>
      </c>
      <c r="P82" s="30">
        <v>171</v>
      </c>
      <c r="Q82" s="22">
        <f t="shared" si="21"/>
        <v>1.4760890407984968E-3</v>
      </c>
      <c r="R82" s="30">
        <v>171</v>
      </c>
      <c r="S82" s="22">
        <f t="shared" si="22"/>
        <v>1.3772311950758589E-3</v>
      </c>
      <c r="T82" s="30">
        <v>171</v>
      </c>
      <c r="U82" s="22">
        <f t="shared" si="23"/>
        <v>1.431773481713071E-3</v>
      </c>
      <c r="V82" s="30">
        <v>171</v>
      </c>
      <c r="W82" s="22">
        <f t="shared" si="24"/>
        <v>1.4620133034660831E-3</v>
      </c>
      <c r="X82" s="30">
        <v>171</v>
      </c>
      <c r="Y82" s="27">
        <f t="shared" si="25"/>
        <v>1.0389381250374792E-3</v>
      </c>
      <c r="Z82" s="17">
        <f t="shared" si="13"/>
        <v>2052</v>
      </c>
      <c r="AA82" s="11">
        <f t="shared" si="26"/>
        <v>1.2657274344052795E-3</v>
      </c>
    </row>
    <row r="83" spans="1:27" x14ac:dyDescent="0.25">
      <c r="A83" s="33" t="s">
        <v>57</v>
      </c>
      <c r="B83" s="30">
        <v>4.0000000000000001E-3</v>
      </c>
      <c r="C83" s="22">
        <f t="shared" si="14"/>
        <v>1.7943122454992367E-8</v>
      </c>
      <c r="D83" s="30">
        <v>2787.94</v>
      </c>
      <c r="E83" s="22">
        <f t="shared" si="15"/>
        <v>2.0076745515436884E-2</v>
      </c>
      <c r="F83" s="30">
        <v>0</v>
      </c>
      <c r="G83" s="22">
        <f t="shared" si="16"/>
        <v>0</v>
      </c>
      <c r="H83" s="30">
        <v>1597</v>
      </c>
      <c r="I83" s="22">
        <f t="shared" si="17"/>
        <v>1.4029557827342439E-2</v>
      </c>
      <c r="J83" s="30">
        <v>0</v>
      </c>
      <c r="K83" s="22">
        <f t="shared" si="18"/>
        <v>0</v>
      </c>
      <c r="L83" s="30">
        <v>0</v>
      </c>
      <c r="M83" s="22">
        <f t="shared" si="19"/>
        <v>0</v>
      </c>
      <c r="N83" s="30">
        <v>8800</v>
      </c>
      <c r="O83" s="22">
        <f t="shared" si="20"/>
        <v>6.909954653422587E-2</v>
      </c>
      <c r="P83" s="30">
        <v>0</v>
      </c>
      <c r="Q83" s="22">
        <f t="shared" si="21"/>
        <v>0</v>
      </c>
      <c r="R83" s="30">
        <v>0</v>
      </c>
      <c r="S83" s="22">
        <f t="shared" si="22"/>
        <v>0</v>
      </c>
      <c r="T83" s="30">
        <v>2900</v>
      </c>
      <c r="U83" s="22">
        <f t="shared" si="23"/>
        <v>2.4281538578759684E-2</v>
      </c>
      <c r="V83" s="30">
        <v>1471</v>
      </c>
      <c r="W83" s="22">
        <f t="shared" si="24"/>
        <v>1.2576734323968469E-2</v>
      </c>
      <c r="X83" s="30">
        <v>3000</v>
      </c>
      <c r="Y83" s="27">
        <f t="shared" si="25"/>
        <v>1.8226984649780335E-2</v>
      </c>
      <c r="Z83" s="17">
        <f t="shared" si="13"/>
        <v>20555.944</v>
      </c>
      <c r="AA83" s="11">
        <f t="shared" si="26"/>
        <v>1.2679445546246879E-2</v>
      </c>
    </row>
    <row r="84" spans="1:27" x14ac:dyDescent="0.25">
      <c r="A84" s="33" t="s">
        <v>81</v>
      </c>
      <c r="B84" s="30">
        <v>2557</v>
      </c>
      <c r="C84" s="22">
        <f t="shared" si="14"/>
        <v>1.1470141029353871E-2</v>
      </c>
      <c r="D84" s="30">
        <v>2557</v>
      </c>
      <c r="E84" s="22">
        <f t="shared" si="15"/>
        <v>1.8413681170675163E-2</v>
      </c>
      <c r="F84" s="30">
        <v>2557</v>
      </c>
      <c r="G84" s="22">
        <f t="shared" si="16"/>
        <v>2.1338005608298807E-2</v>
      </c>
      <c r="H84" s="30">
        <v>2557</v>
      </c>
      <c r="I84" s="22">
        <f t="shared" si="17"/>
        <v>2.2463105425494439E-2</v>
      </c>
      <c r="J84" s="30">
        <v>2557</v>
      </c>
      <c r="K84" s="22">
        <f t="shared" si="18"/>
        <v>2.0616265903227876E-2</v>
      </c>
      <c r="L84" s="30">
        <v>0</v>
      </c>
      <c r="M84" s="22">
        <f t="shared" si="19"/>
        <v>0</v>
      </c>
      <c r="N84" s="30">
        <v>0</v>
      </c>
      <c r="O84" s="22">
        <f t="shared" si="20"/>
        <v>0</v>
      </c>
      <c r="P84" s="30">
        <v>0</v>
      </c>
      <c r="Q84" s="22">
        <f t="shared" si="21"/>
        <v>0</v>
      </c>
      <c r="R84" s="30">
        <v>0</v>
      </c>
      <c r="S84" s="22">
        <f t="shared" si="22"/>
        <v>0</v>
      </c>
      <c r="T84" s="30">
        <v>0</v>
      </c>
      <c r="U84" s="22">
        <f t="shared" si="23"/>
        <v>0</v>
      </c>
      <c r="V84" s="30">
        <v>487</v>
      </c>
      <c r="W84" s="22">
        <f t="shared" si="24"/>
        <v>4.163745489988201E-3</v>
      </c>
      <c r="X84" s="30">
        <v>1371</v>
      </c>
      <c r="Y84" s="27">
        <f t="shared" si="25"/>
        <v>8.3297319849496149E-3</v>
      </c>
      <c r="Z84" s="17">
        <f t="shared" si="13"/>
        <v>14643</v>
      </c>
      <c r="AA84" s="11">
        <f t="shared" si="26"/>
        <v>9.0321865604271467E-3</v>
      </c>
    </row>
    <row r="85" spans="1:27" x14ac:dyDescent="0.25">
      <c r="A85" s="33" t="s">
        <v>58</v>
      </c>
      <c r="B85" s="30">
        <v>353.12</v>
      </c>
      <c r="C85" s="22">
        <f t="shared" si="14"/>
        <v>1.5840188503267263E-3</v>
      </c>
      <c r="D85" s="30">
        <v>680</v>
      </c>
      <c r="E85" s="22">
        <f t="shared" si="15"/>
        <v>4.8968725835194021E-3</v>
      </c>
      <c r="F85" s="30">
        <v>450</v>
      </c>
      <c r="G85" s="22">
        <f t="shared" si="16"/>
        <v>3.7552219490553239E-3</v>
      </c>
      <c r="H85" s="30">
        <v>400</v>
      </c>
      <c r="I85" s="22">
        <f t="shared" si="17"/>
        <v>3.5139781658966658E-3</v>
      </c>
      <c r="J85" s="38">
        <v>290</v>
      </c>
      <c r="K85" s="22" t="str">
        <f>IFERROR(#REF!/J$4,"")</f>
        <v/>
      </c>
      <c r="L85" s="30">
        <v>300</v>
      </c>
      <c r="M85" s="22">
        <f t="shared" si="19"/>
        <v>2.2493465086055871E-3</v>
      </c>
      <c r="N85" s="30"/>
      <c r="O85" s="22">
        <f t="shared" si="20"/>
        <v>0</v>
      </c>
      <c r="P85" s="30">
        <v>450</v>
      </c>
      <c r="Q85" s="22">
        <f t="shared" si="21"/>
        <v>3.8844448442065709E-3</v>
      </c>
      <c r="R85" s="30">
        <v>500</v>
      </c>
      <c r="S85" s="22">
        <f t="shared" si="22"/>
        <v>4.0269917984674239E-3</v>
      </c>
      <c r="T85" s="30">
        <v>450</v>
      </c>
      <c r="U85" s="22">
        <f t="shared" si="23"/>
        <v>3.7678249518765029E-3</v>
      </c>
      <c r="V85" s="30">
        <v>450</v>
      </c>
      <c r="W85" s="22">
        <f t="shared" si="24"/>
        <v>3.8474034301739027E-3</v>
      </c>
      <c r="X85" s="30"/>
      <c r="Y85" s="27">
        <f t="shared" si="25"/>
        <v>0</v>
      </c>
      <c r="Z85" s="17" t="e">
        <f>B85+D85+F85+H85+#REF!+L85+N85+P85+R85+T85+V85+X85</f>
        <v>#REF!</v>
      </c>
      <c r="AA85" s="11" t="str">
        <f t="shared" si="26"/>
        <v/>
      </c>
    </row>
    <row r="86" spans="1:27" x14ac:dyDescent="0.25">
      <c r="A86" s="33" t="s">
        <v>80</v>
      </c>
      <c r="B86" s="30">
        <v>1800</v>
      </c>
      <c r="C86" s="22">
        <f t="shared" si="14"/>
        <v>8.0744051047465654E-3</v>
      </c>
      <c r="D86" s="30">
        <v>0</v>
      </c>
      <c r="E86" s="22">
        <f t="shared" si="15"/>
        <v>0</v>
      </c>
      <c r="F86" s="30">
        <v>1400</v>
      </c>
      <c r="G86" s="22">
        <f t="shared" si="16"/>
        <v>1.1682912730394341E-2</v>
      </c>
      <c r="H86" s="30">
        <v>2100</v>
      </c>
      <c r="I86" s="22">
        <f t="shared" si="17"/>
        <v>1.8448385370957495E-2</v>
      </c>
      <c r="J86" s="38">
        <v>2400</v>
      </c>
      <c r="K86" s="22" t="str">
        <f>IFERROR(#REF!/J$4,"")</f>
        <v/>
      </c>
      <c r="L86" s="30">
        <v>660</v>
      </c>
      <c r="M86" s="22">
        <f t="shared" si="19"/>
        <v>4.9485623189322921E-3</v>
      </c>
      <c r="N86" s="30">
        <v>1500</v>
      </c>
      <c r="O86" s="22">
        <f t="shared" si="20"/>
        <v>1.1778331795606682E-2</v>
      </c>
      <c r="P86" s="30">
        <v>0</v>
      </c>
      <c r="Q86" s="22">
        <f t="shared" si="21"/>
        <v>0</v>
      </c>
      <c r="R86" s="30">
        <v>0</v>
      </c>
      <c r="S86" s="22">
        <f t="shared" si="22"/>
        <v>0</v>
      </c>
      <c r="T86" s="30">
        <v>600</v>
      </c>
      <c r="U86" s="22">
        <f t="shared" si="23"/>
        <v>5.0237666025020038E-3</v>
      </c>
      <c r="V86" s="30">
        <v>1200</v>
      </c>
      <c r="W86" s="22">
        <f t="shared" si="24"/>
        <v>1.025974248046374E-2</v>
      </c>
      <c r="X86" s="30"/>
      <c r="Y86" s="27">
        <f t="shared" si="25"/>
        <v>0</v>
      </c>
      <c r="Z86" s="17" t="e">
        <f>B86+D86+F86+H86+#REF!+L86+N86+P86+R86+T86+V86+X86</f>
        <v>#REF!</v>
      </c>
      <c r="AA86" s="11" t="str">
        <f t="shared" si="26"/>
        <v/>
      </c>
    </row>
    <row r="87" spans="1:27" x14ac:dyDescent="0.25">
      <c r="A87" s="33" t="s">
        <v>60</v>
      </c>
      <c r="B87" s="30">
        <v>48</v>
      </c>
      <c r="C87" s="22">
        <f t="shared" si="14"/>
        <v>2.1531746945990842E-4</v>
      </c>
      <c r="D87" s="30">
        <v>140</v>
      </c>
      <c r="E87" s="22">
        <f t="shared" si="15"/>
        <v>1.0081796495481122E-3</v>
      </c>
      <c r="F87" s="30">
        <v>0</v>
      </c>
      <c r="G87" s="22">
        <f t="shared" si="16"/>
        <v>0</v>
      </c>
      <c r="H87" s="30"/>
      <c r="I87" s="22">
        <f t="shared" si="17"/>
        <v>0</v>
      </c>
      <c r="J87" s="30">
        <v>105</v>
      </c>
      <c r="K87" s="22">
        <f t="shared" si="18"/>
        <v>8.4658111843524718E-4</v>
      </c>
      <c r="L87" s="30">
        <v>442</v>
      </c>
      <c r="M87" s="22">
        <f t="shared" si="19"/>
        <v>3.3140371893455654E-3</v>
      </c>
      <c r="N87" s="30">
        <v>1886</v>
      </c>
      <c r="O87" s="22">
        <f t="shared" si="20"/>
        <v>1.4809289177676136E-2</v>
      </c>
      <c r="P87" s="30">
        <v>0</v>
      </c>
      <c r="Q87" s="22">
        <f t="shared" si="21"/>
        <v>0</v>
      </c>
      <c r="R87" s="30">
        <v>0</v>
      </c>
      <c r="S87" s="22">
        <f t="shared" si="22"/>
        <v>0</v>
      </c>
      <c r="T87" s="30">
        <v>725</v>
      </c>
      <c r="U87" s="22">
        <f t="shared" si="23"/>
        <v>6.0703846446899211E-3</v>
      </c>
      <c r="V87" s="30">
        <v>0</v>
      </c>
      <c r="W87" s="22">
        <f t="shared" si="24"/>
        <v>0</v>
      </c>
      <c r="X87" s="30"/>
      <c r="Y87" s="27">
        <f t="shared" si="25"/>
        <v>0</v>
      </c>
      <c r="Z87" s="17">
        <f t="shared" si="13"/>
        <v>3346</v>
      </c>
      <c r="AA87" s="11">
        <f t="shared" si="26"/>
        <v>2.0639005826121174E-3</v>
      </c>
    </row>
    <row r="88" spans="1:27" x14ac:dyDescent="0.25">
      <c r="A88" s="33" t="s">
        <v>61</v>
      </c>
      <c r="B88" s="30">
        <v>0</v>
      </c>
      <c r="C88" s="22">
        <f t="shared" si="14"/>
        <v>0</v>
      </c>
      <c r="D88" s="30">
        <v>240</v>
      </c>
      <c r="E88" s="22">
        <f t="shared" si="15"/>
        <v>1.7283079706539065E-3</v>
      </c>
      <c r="F88" s="30">
        <v>0</v>
      </c>
      <c r="G88" s="22">
        <f t="shared" si="16"/>
        <v>0</v>
      </c>
      <c r="H88" s="30">
        <v>0</v>
      </c>
      <c r="I88" s="22">
        <f t="shared" si="17"/>
        <v>0</v>
      </c>
      <c r="J88" s="30">
        <v>413</v>
      </c>
      <c r="K88" s="22">
        <f t="shared" si="18"/>
        <v>3.3298857325119724E-3</v>
      </c>
      <c r="L88" s="30">
        <v>0</v>
      </c>
      <c r="M88" s="22">
        <f t="shared" si="19"/>
        <v>0</v>
      </c>
      <c r="N88" s="30">
        <v>315</v>
      </c>
      <c r="O88" s="22">
        <f t="shared" si="20"/>
        <v>2.4734496770774032E-3</v>
      </c>
      <c r="P88" s="30">
        <v>0</v>
      </c>
      <c r="Q88" s="22">
        <f t="shared" si="21"/>
        <v>0</v>
      </c>
      <c r="R88" s="30">
        <v>0</v>
      </c>
      <c r="S88" s="22">
        <f t="shared" si="22"/>
        <v>0</v>
      </c>
      <c r="T88" s="30">
        <v>0</v>
      </c>
      <c r="U88" s="22">
        <f t="shared" si="23"/>
        <v>0</v>
      </c>
      <c r="V88" s="30">
        <v>0</v>
      </c>
      <c r="W88" s="22">
        <f t="shared" si="24"/>
        <v>0</v>
      </c>
      <c r="X88" s="30"/>
      <c r="Y88" s="27">
        <f t="shared" si="25"/>
        <v>0</v>
      </c>
      <c r="Z88" s="17">
        <f t="shared" si="13"/>
        <v>968</v>
      </c>
      <c r="AA88" s="11">
        <f t="shared" si="26"/>
        <v>5.970877955674027E-4</v>
      </c>
    </row>
    <row r="89" spans="1:27" x14ac:dyDescent="0.25">
      <c r="A89" s="33" t="s">
        <v>62</v>
      </c>
      <c r="B89" s="30">
        <v>144.31</v>
      </c>
      <c r="C89" s="22">
        <f t="shared" si="14"/>
        <v>6.4734300036998712E-4</v>
      </c>
      <c r="D89" s="30">
        <v>150</v>
      </c>
      <c r="E89" s="22">
        <f t="shared" si="15"/>
        <v>1.0801924816586917E-3</v>
      </c>
      <c r="F89" s="30">
        <v>66.459999999999994</v>
      </c>
      <c r="G89" s="22">
        <f t="shared" si="16"/>
        <v>5.5460455718714841E-4</v>
      </c>
      <c r="H89" s="30">
        <v>70</v>
      </c>
      <c r="I89" s="22">
        <f t="shared" si="17"/>
        <v>6.1494617903191657E-4</v>
      </c>
      <c r="J89" s="30">
        <v>84.5</v>
      </c>
      <c r="K89" s="22">
        <f t="shared" si="18"/>
        <v>6.8129623340741326E-4</v>
      </c>
      <c r="L89" s="30">
        <v>90</v>
      </c>
      <c r="M89" s="22">
        <f t="shared" si="19"/>
        <v>6.7480395258167616E-4</v>
      </c>
      <c r="N89" s="30">
        <v>90</v>
      </c>
      <c r="O89" s="22">
        <f t="shared" si="20"/>
        <v>7.0669990773640089E-4</v>
      </c>
      <c r="P89" s="30">
        <v>90</v>
      </c>
      <c r="Q89" s="22">
        <f t="shared" si="21"/>
        <v>7.7688896884131413E-4</v>
      </c>
      <c r="R89" s="30">
        <v>90</v>
      </c>
      <c r="S89" s="22">
        <f t="shared" si="22"/>
        <v>7.2485852372413621E-4</v>
      </c>
      <c r="T89" s="30">
        <v>91</v>
      </c>
      <c r="U89" s="22">
        <f t="shared" si="23"/>
        <v>7.6193793471280387E-4</v>
      </c>
      <c r="V89" s="30">
        <v>90</v>
      </c>
      <c r="W89" s="22">
        <f t="shared" si="24"/>
        <v>7.6948068603478054E-4</v>
      </c>
      <c r="X89" s="30"/>
      <c r="Y89" s="27">
        <f t="shared" si="25"/>
        <v>0</v>
      </c>
      <c r="Z89" s="17">
        <f t="shared" si="13"/>
        <v>1056.27</v>
      </c>
      <c r="AA89" s="11">
        <f t="shared" si="26"/>
        <v>6.5153504733882282E-4</v>
      </c>
    </row>
    <row r="90" spans="1:27" x14ac:dyDescent="0.25">
      <c r="A90" s="33" t="s">
        <v>79</v>
      </c>
      <c r="B90" s="30">
        <v>936</v>
      </c>
      <c r="C90" s="22">
        <f t="shared" si="14"/>
        <v>4.1986906544682137E-3</v>
      </c>
      <c r="D90" s="30">
        <v>0</v>
      </c>
      <c r="E90" s="22">
        <f t="shared" si="15"/>
        <v>0</v>
      </c>
      <c r="F90" s="30">
        <v>0</v>
      </c>
      <c r="G90" s="22">
        <f t="shared" si="16"/>
        <v>0</v>
      </c>
      <c r="H90" s="30">
        <v>0</v>
      </c>
      <c r="I90" s="22">
        <f t="shared" si="17"/>
        <v>0</v>
      </c>
      <c r="J90" s="30">
        <v>0</v>
      </c>
      <c r="K90" s="22">
        <f t="shared" si="18"/>
        <v>0</v>
      </c>
      <c r="L90" s="30">
        <v>0</v>
      </c>
      <c r="M90" s="22">
        <f t="shared" si="19"/>
        <v>0</v>
      </c>
      <c r="N90" s="30">
        <v>0</v>
      </c>
      <c r="O90" s="22">
        <f t="shared" si="20"/>
        <v>0</v>
      </c>
      <c r="P90" s="30">
        <v>0</v>
      </c>
      <c r="Q90" s="22">
        <f t="shared" si="21"/>
        <v>0</v>
      </c>
      <c r="R90" s="30">
        <v>455</v>
      </c>
      <c r="S90" s="22">
        <f t="shared" si="22"/>
        <v>3.6645625366053553E-3</v>
      </c>
      <c r="T90" s="30">
        <v>0</v>
      </c>
      <c r="U90" s="22">
        <f t="shared" si="23"/>
        <v>0</v>
      </c>
      <c r="V90" s="30">
        <v>0</v>
      </c>
      <c r="W90" s="22">
        <f t="shared" si="24"/>
        <v>0</v>
      </c>
      <c r="X90" s="30">
        <v>0</v>
      </c>
      <c r="Y90" s="27">
        <f t="shared" si="25"/>
        <v>0</v>
      </c>
      <c r="Z90" s="17">
        <f t="shared" si="13"/>
        <v>1391</v>
      </c>
      <c r="AA90" s="11">
        <f t="shared" si="26"/>
        <v>8.5800529301059626E-4</v>
      </c>
    </row>
    <row r="91" spans="1:27" x14ac:dyDescent="0.25">
      <c r="A91" s="33" t="s">
        <v>68</v>
      </c>
      <c r="B91" s="30">
        <v>90</v>
      </c>
      <c r="C91" s="22">
        <f t="shared" si="14"/>
        <v>4.0372025523732828E-4</v>
      </c>
      <c r="D91" s="30">
        <v>60</v>
      </c>
      <c r="E91" s="22">
        <f t="shared" si="15"/>
        <v>4.3207699266347663E-4</v>
      </c>
      <c r="F91" s="30">
        <v>60</v>
      </c>
      <c r="G91" s="22">
        <f t="shared" si="16"/>
        <v>5.006962598740432E-4</v>
      </c>
      <c r="H91" s="30">
        <v>750</v>
      </c>
      <c r="I91" s="22">
        <f t="shared" si="17"/>
        <v>6.5887090610562485E-3</v>
      </c>
      <c r="J91" s="30">
        <v>750</v>
      </c>
      <c r="K91" s="22">
        <f t="shared" si="18"/>
        <v>6.0470079888231944E-3</v>
      </c>
      <c r="L91" s="30">
        <v>60</v>
      </c>
      <c r="M91" s="22">
        <f t="shared" si="19"/>
        <v>4.4986930172111742E-4</v>
      </c>
      <c r="N91" s="30">
        <v>660</v>
      </c>
      <c r="O91" s="22">
        <f t="shared" si="20"/>
        <v>5.1824659900669406E-3</v>
      </c>
      <c r="P91" s="30">
        <v>760</v>
      </c>
      <c r="Q91" s="22">
        <f t="shared" si="21"/>
        <v>6.5603957368822081E-3</v>
      </c>
      <c r="R91" s="30">
        <v>60</v>
      </c>
      <c r="S91" s="22">
        <f t="shared" si="22"/>
        <v>4.8323901581609084E-4</v>
      </c>
      <c r="T91" s="30">
        <v>60</v>
      </c>
      <c r="U91" s="22">
        <f t="shared" si="23"/>
        <v>5.0237666025020034E-4</v>
      </c>
      <c r="V91" s="30">
        <v>60</v>
      </c>
      <c r="W91" s="22">
        <f t="shared" si="24"/>
        <v>5.1298712402318702E-4</v>
      </c>
      <c r="X91" s="30">
        <v>60</v>
      </c>
      <c r="Y91" s="27">
        <f t="shared" si="25"/>
        <v>3.6453969299560674E-4</v>
      </c>
      <c r="Z91" s="17">
        <f t="shared" si="13"/>
        <v>3430</v>
      </c>
      <c r="AA91" s="11">
        <f t="shared" si="26"/>
        <v>2.1157139863597018E-3</v>
      </c>
    </row>
    <row r="92" spans="1:27" x14ac:dyDescent="0.25">
      <c r="A92" s="33" t="s">
        <v>69</v>
      </c>
      <c r="B92" s="30">
        <v>1464</v>
      </c>
      <c r="C92" s="22">
        <f t="shared" si="14"/>
        <v>6.5671828185272065E-3</v>
      </c>
      <c r="D92" s="30">
        <v>1165</v>
      </c>
      <c r="E92" s="22">
        <f t="shared" si="15"/>
        <v>8.3894949408825047E-3</v>
      </c>
      <c r="F92" s="30">
        <v>199</v>
      </c>
      <c r="G92" s="22">
        <f t="shared" si="16"/>
        <v>1.6606425952489098E-3</v>
      </c>
      <c r="H92" s="30">
        <v>1294</v>
      </c>
      <c r="I92" s="22">
        <f t="shared" si="17"/>
        <v>1.1367719366675714E-2</v>
      </c>
      <c r="J92" s="30">
        <v>1280</v>
      </c>
      <c r="K92" s="22">
        <f t="shared" si="18"/>
        <v>1.0320226967591585E-2</v>
      </c>
      <c r="L92" s="30">
        <v>850</v>
      </c>
      <c r="M92" s="22">
        <f t="shared" si="19"/>
        <v>6.3731484410491637E-3</v>
      </c>
      <c r="N92" s="30">
        <v>1545</v>
      </c>
      <c r="O92" s="22">
        <f t="shared" si="20"/>
        <v>1.2131681749474883E-2</v>
      </c>
      <c r="P92" s="30">
        <v>1342</v>
      </c>
      <c r="Q92" s="22">
        <f t="shared" si="21"/>
        <v>1.1584277735389373E-2</v>
      </c>
      <c r="R92" s="30">
        <v>1900</v>
      </c>
      <c r="S92" s="22">
        <f t="shared" si="22"/>
        <v>1.530256883417621E-2</v>
      </c>
      <c r="T92" s="30">
        <v>1800</v>
      </c>
      <c r="U92" s="22">
        <f t="shared" si="23"/>
        <v>1.5071299807506012E-2</v>
      </c>
      <c r="V92" s="30">
        <v>1500</v>
      </c>
      <c r="W92" s="22">
        <f t="shared" si="24"/>
        <v>1.2824678100579676E-2</v>
      </c>
      <c r="X92" s="30"/>
      <c r="Y92" s="27">
        <f t="shared" si="25"/>
        <v>0</v>
      </c>
      <c r="Z92" s="17">
        <f t="shared" si="13"/>
        <v>14339</v>
      </c>
      <c r="AA92" s="11">
        <f t="shared" si="26"/>
        <v>8.8446713849596979E-3</v>
      </c>
    </row>
    <row r="93" spans="1:27" x14ac:dyDescent="0.25">
      <c r="A93" s="33" t="s">
        <v>82</v>
      </c>
      <c r="B93" s="30">
        <v>1265</v>
      </c>
      <c r="C93" s="22">
        <f t="shared" si="14"/>
        <v>5.6745124763913366E-3</v>
      </c>
      <c r="D93" s="30">
        <v>800</v>
      </c>
      <c r="E93" s="22">
        <f t="shared" si="15"/>
        <v>5.7610265688463553E-3</v>
      </c>
      <c r="F93" s="30">
        <v>1630</v>
      </c>
      <c r="G93" s="22">
        <f t="shared" si="16"/>
        <v>1.3602248393244839E-2</v>
      </c>
      <c r="H93" s="30">
        <v>0</v>
      </c>
      <c r="I93" s="22">
        <f t="shared" si="17"/>
        <v>0</v>
      </c>
      <c r="J93" s="30">
        <v>820</v>
      </c>
      <c r="K93" s="22">
        <f t="shared" si="18"/>
        <v>6.6113954011133586E-3</v>
      </c>
      <c r="L93" s="30">
        <v>0</v>
      </c>
      <c r="M93" s="22">
        <f t="shared" si="19"/>
        <v>0</v>
      </c>
      <c r="N93" s="30">
        <v>820</v>
      </c>
      <c r="O93" s="22">
        <f t="shared" si="20"/>
        <v>6.4388213815983197E-3</v>
      </c>
      <c r="P93" s="30">
        <v>820</v>
      </c>
      <c r="Q93" s="22">
        <f t="shared" si="21"/>
        <v>7.0783217161097508E-3</v>
      </c>
      <c r="R93" s="30">
        <v>900</v>
      </c>
      <c r="S93" s="22">
        <f t="shared" si="22"/>
        <v>7.2485852372413621E-3</v>
      </c>
      <c r="T93" s="30">
        <v>0</v>
      </c>
      <c r="U93" s="22">
        <f t="shared" si="23"/>
        <v>0</v>
      </c>
      <c r="V93" s="30">
        <v>0</v>
      </c>
      <c r="W93" s="22">
        <f t="shared" si="24"/>
        <v>0</v>
      </c>
      <c r="X93" s="30"/>
      <c r="Y93" s="27">
        <f t="shared" si="25"/>
        <v>0</v>
      </c>
      <c r="Z93" s="17">
        <f t="shared" si="13"/>
        <v>7055</v>
      </c>
      <c r="AA93" s="11">
        <f t="shared" si="26"/>
        <v>4.3517090885620106E-3</v>
      </c>
    </row>
    <row r="94" spans="1:27" x14ac:dyDescent="0.25">
      <c r="A94" s="33" t="s">
        <v>84</v>
      </c>
      <c r="B94" s="30">
        <v>1547.84</v>
      </c>
      <c r="C94" s="22">
        <f t="shared" si="14"/>
        <v>6.943270665183846E-3</v>
      </c>
      <c r="D94" s="30">
        <v>1270</v>
      </c>
      <c r="E94" s="22">
        <f t="shared" si="15"/>
        <v>9.1456296780435889E-3</v>
      </c>
      <c r="F94" s="30">
        <v>1847</v>
      </c>
      <c r="G94" s="22">
        <f t="shared" si="16"/>
        <v>1.5413099866455962E-2</v>
      </c>
      <c r="H94" s="30">
        <v>430</v>
      </c>
      <c r="I94" s="22">
        <f t="shared" si="17"/>
        <v>3.7775265283389158E-3</v>
      </c>
      <c r="J94" s="30">
        <v>969</v>
      </c>
      <c r="K94" s="22">
        <f t="shared" si="18"/>
        <v>7.8127343215595672E-3</v>
      </c>
      <c r="L94" s="30">
        <v>645</v>
      </c>
      <c r="M94" s="22">
        <f t="shared" si="19"/>
        <v>4.8360949935020124E-3</v>
      </c>
      <c r="N94" s="30">
        <v>1000</v>
      </c>
      <c r="O94" s="22">
        <f t="shared" si="20"/>
        <v>7.8522211970711211E-3</v>
      </c>
      <c r="P94" s="30">
        <v>1332</v>
      </c>
      <c r="Q94" s="22">
        <f t="shared" si="21"/>
        <v>1.1497956738851449E-2</v>
      </c>
      <c r="R94" s="30">
        <v>1513</v>
      </c>
      <c r="S94" s="22">
        <f t="shared" si="22"/>
        <v>1.2185677182162423E-2</v>
      </c>
      <c r="T94" s="30">
        <v>476.24</v>
      </c>
      <c r="U94" s="22">
        <f t="shared" si="23"/>
        <v>3.9875310112925909E-3</v>
      </c>
      <c r="V94" s="30">
        <v>1300</v>
      </c>
      <c r="W94" s="22">
        <f t="shared" si="24"/>
        <v>1.1114721020502386E-2</v>
      </c>
      <c r="X94" s="30"/>
      <c r="Y94" s="27">
        <f t="shared" si="25"/>
        <v>0</v>
      </c>
      <c r="Z94" s="17">
        <f t="shared" si="13"/>
        <v>12330.08</v>
      </c>
      <c r="AA94" s="11">
        <f t="shared" si="26"/>
        <v>7.605516824762109E-3</v>
      </c>
    </row>
    <row r="95" spans="1:27" x14ac:dyDescent="0.25">
      <c r="A95" s="33" t="s">
        <v>95</v>
      </c>
      <c r="B95" s="30">
        <v>90</v>
      </c>
      <c r="C95" s="22">
        <f t="shared" si="14"/>
        <v>4.0372025523732828E-4</v>
      </c>
      <c r="D95" s="30">
        <v>60</v>
      </c>
      <c r="E95" s="22">
        <f t="shared" si="15"/>
        <v>4.3207699266347663E-4</v>
      </c>
      <c r="F95" s="30">
        <v>60</v>
      </c>
      <c r="G95" s="22">
        <f t="shared" si="16"/>
        <v>5.006962598740432E-4</v>
      </c>
      <c r="H95" s="30">
        <v>150</v>
      </c>
      <c r="I95" s="22">
        <f t="shared" si="17"/>
        <v>1.3177418122112497E-3</v>
      </c>
      <c r="J95" s="30">
        <v>660</v>
      </c>
      <c r="K95" s="22">
        <f t="shared" si="18"/>
        <v>5.3213670301644114E-3</v>
      </c>
      <c r="L95" s="30">
        <v>660</v>
      </c>
      <c r="M95" s="22">
        <f t="shared" si="19"/>
        <v>4.9485623189322921E-3</v>
      </c>
      <c r="N95" s="30">
        <v>660</v>
      </c>
      <c r="O95" s="22">
        <f t="shared" si="20"/>
        <v>5.1824659900669406E-3</v>
      </c>
      <c r="P95" s="30">
        <v>60</v>
      </c>
      <c r="Q95" s="22">
        <f t="shared" si="21"/>
        <v>5.1792597922754272E-4</v>
      </c>
      <c r="R95" s="30">
        <v>60</v>
      </c>
      <c r="S95" s="22">
        <f t="shared" si="22"/>
        <v>4.8323901581609084E-4</v>
      </c>
      <c r="T95" s="30">
        <v>60</v>
      </c>
      <c r="U95" s="22">
        <f t="shared" si="23"/>
        <v>5.0237666025020034E-4</v>
      </c>
      <c r="V95" s="30">
        <v>60</v>
      </c>
      <c r="W95" s="22">
        <f t="shared" si="24"/>
        <v>5.1298712402318702E-4</v>
      </c>
      <c r="X95" s="30"/>
      <c r="Y95" s="27">
        <f t="shared" si="25"/>
        <v>0</v>
      </c>
      <c r="Z95" s="17">
        <f t="shared" si="13"/>
        <v>2580</v>
      </c>
      <c r="AA95" s="11">
        <f t="shared" si="26"/>
        <v>1.5914116865329536E-3</v>
      </c>
    </row>
    <row r="96" spans="1:27" x14ac:dyDescent="0.25">
      <c r="A96" s="33" t="s">
        <v>91</v>
      </c>
      <c r="B96" s="30">
        <v>655</v>
      </c>
      <c r="C96" s="22">
        <f t="shared" si="14"/>
        <v>2.9381863020050002E-3</v>
      </c>
      <c r="D96" s="30">
        <v>655</v>
      </c>
      <c r="E96" s="22">
        <f t="shared" si="15"/>
        <v>4.7168405032429533E-3</v>
      </c>
      <c r="F96" s="30">
        <v>655</v>
      </c>
      <c r="G96" s="22">
        <f t="shared" si="16"/>
        <v>5.465934170291638E-3</v>
      </c>
      <c r="H96" s="30">
        <v>655</v>
      </c>
      <c r="I96" s="22">
        <f t="shared" si="17"/>
        <v>5.7541392466557905E-3</v>
      </c>
      <c r="J96" s="30">
        <v>655</v>
      </c>
      <c r="K96" s="22">
        <f t="shared" si="18"/>
        <v>5.2810536435722562E-3</v>
      </c>
      <c r="L96" s="30">
        <v>655</v>
      </c>
      <c r="M96" s="22">
        <f t="shared" si="19"/>
        <v>4.9110732104555325E-3</v>
      </c>
      <c r="N96" s="30">
        <v>655</v>
      </c>
      <c r="O96" s="22">
        <f t="shared" si="20"/>
        <v>5.1432048840815842E-3</v>
      </c>
      <c r="P96" s="30">
        <v>655</v>
      </c>
      <c r="Q96" s="22">
        <f t="shared" si="21"/>
        <v>5.6540252732340084E-3</v>
      </c>
      <c r="R96" s="30">
        <v>655</v>
      </c>
      <c r="S96" s="22">
        <f t="shared" si="22"/>
        <v>5.2753592559923249E-3</v>
      </c>
      <c r="T96" s="30">
        <v>655</v>
      </c>
      <c r="U96" s="22">
        <f t="shared" si="23"/>
        <v>5.4842785410646874E-3</v>
      </c>
      <c r="V96" s="30">
        <v>655</v>
      </c>
      <c r="W96" s="22">
        <f t="shared" si="24"/>
        <v>5.600109437253125E-3</v>
      </c>
      <c r="X96" s="30"/>
      <c r="Y96" s="27">
        <f t="shared" si="25"/>
        <v>0</v>
      </c>
      <c r="Z96" s="17">
        <f t="shared" si="13"/>
        <v>7205</v>
      </c>
      <c r="AA96" s="11">
        <f t="shared" si="26"/>
        <v>4.4442330238255549E-3</v>
      </c>
    </row>
    <row r="97" spans="1:27" x14ac:dyDescent="0.25">
      <c r="A97" s="33" t="s">
        <v>92</v>
      </c>
      <c r="B97" s="30">
        <v>311</v>
      </c>
      <c r="C97" s="22">
        <f t="shared" si="14"/>
        <v>1.3950777708756565E-3</v>
      </c>
      <c r="D97" s="30">
        <v>311</v>
      </c>
      <c r="E97" s="22">
        <f t="shared" si="15"/>
        <v>2.2395990786390207E-3</v>
      </c>
      <c r="F97" s="30">
        <v>311</v>
      </c>
      <c r="G97" s="22">
        <f t="shared" si="16"/>
        <v>2.5952756136804569E-3</v>
      </c>
      <c r="H97" s="30">
        <v>311</v>
      </c>
      <c r="I97" s="22">
        <f t="shared" si="17"/>
        <v>2.732118023984658E-3</v>
      </c>
      <c r="J97" s="30">
        <v>311</v>
      </c>
      <c r="K97" s="22">
        <f t="shared" si="18"/>
        <v>2.5074926460320179E-3</v>
      </c>
      <c r="L97" s="30">
        <v>311</v>
      </c>
      <c r="M97" s="22">
        <f t="shared" si="19"/>
        <v>2.3318225472544587E-3</v>
      </c>
      <c r="N97" s="30">
        <v>311</v>
      </c>
      <c r="O97" s="22">
        <f t="shared" si="20"/>
        <v>2.4420407922891188E-3</v>
      </c>
      <c r="P97" s="30">
        <v>311</v>
      </c>
      <c r="Q97" s="22">
        <f t="shared" si="21"/>
        <v>2.68458299232943E-3</v>
      </c>
      <c r="R97" s="30">
        <v>311</v>
      </c>
      <c r="S97" s="22">
        <f t="shared" si="22"/>
        <v>2.5047888986467373E-3</v>
      </c>
      <c r="T97" s="30">
        <v>311</v>
      </c>
      <c r="U97" s="22">
        <f t="shared" si="23"/>
        <v>2.6039856889635386E-3</v>
      </c>
      <c r="V97" s="30">
        <v>311</v>
      </c>
      <c r="W97" s="22">
        <f t="shared" si="24"/>
        <v>2.6589832595201859E-3</v>
      </c>
      <c r="X97" s="30">
        <v>311</v>
      </c>
      <c r="Y97" s="27">
        <f t="shared" si="25"/>
        <v>1.8895307420272282E-3</v>
      </c>
      <c r="Z97" s="17">
        <f t="shared" si="13"/>
        <v>3732</v>
      </c>
      <c r="AA97" s="11">
        <f t="shared" si="26"/>
        <v>2.3019955093569701E-3</v>
      </c>
    </row>
    <row r="98" spans="1:27" x14ac:dyDescent="0.25">
      <c r="A98" s="33" t="s">
        <v>93</v>
      </c>
      <c r="B98" s="30">
        <v>89.56</v>
      </c>
      <c r="C98" s="22">
        <f t="shared" si="14"/>
        <v>4.0174651176727913E-4</v>
      </c>
      <c r="D98" s="30">
        <v>89.55</v>
      </c>
      <c r="E98" s="22">
        <f t="shared" si="15"/>
        <v>6.4487491155023886E-4</v>
      </c>
      <c r="F98" s="30">
        <v>89.55</v>
      </c>
      <c r="G98" s="22">
        <f t="shared" si="16"/>
        <v>7.4728916786200939E-4</v>
      </c>
      <c r="H98" s="30">
        <v>89.56</v>
      </c>
      <c r="I98" s="22">
        <f t="shared" si="17"/>
        <v>7.8677971134426359E-4</v>
      </c>
      <c r="J98" s="30">
        <v>89.56</v>
      </c>
      <c r="K98" s="22">
        <f t="shared" si="18"/>
        <v>7.2209338063867372E-4</v>
      </c>
      <c r="L98" s="30">
        <v>89.56</v>
      </c>
      <c r="M98" s="22">
        <f t="shared" si="19"/>
        <v>6.7150491103572132E-4</v>
      </c>
      <c r="N98" s="30">
        <v>89.55</v>
      </c>
      <c r="O98" s="22">
        <f t="shared" si="20"/>
        <v>7.0316640819771887E-4</v>
      </c>
      <c r="P98" s="30">
        <v>89.55</v>
      </c>
      <c r="Q98" s="22">
        <f t="shared" si="21"/>
        <v>7.7300452399710752E-4</v>
      </c>
      <c r="R98" s="30">
        <v>89.55</v>
      </c>
      <c r="S98" s="22">
        <f t="shared" si="22"/>
        <v>7.2123423110551554E-4</v>
      </c>
      <c r="T98" s="30">
        <v>89.55</v>
      </c>
      <c r="U98" s="22">
        <f t="shared" si="23"/>
        <v>7.4979716542342405E-4</v>
      </c>
      <c r="V98" s="30">
        <v>89.55</v>
      </c>
      <c r="W98" s="22">
        <f t="shared" si="24"/>
        <v>7.6563328260460665E-4</v>
      </c>
      <c r="X98" s="30">
        <v>89.55</v>
      </c>
      <c r="Y98" s="27">
        <f t="shared" si="25"/>
        <v>5.4407549179594304E-4</v>
      </c>
      <c r="Z98" s="17">
        <f t="shared" si="13"/>
        <v>1074.6399999999999</v>
      </c>
      <c r="AA98" s="11">
        <f t="shared" si="26"/>
        <v>6.6286614527743138E-4</v>
      </c>
    </row>
    <row r="99" spans="1:27" x14ac:dyDescent="0.25">
      <c r="A99" s="33" t="s">
        <v>94</v>
      </c>
      <c r="B99" s="30">
        <v>0</v>
      </c>
      <c r="C99" s="22">
        <f t="shared" si="14"/>
        <v>0</v>
      </c>
      <c r="D99" s="30">
        <v>0</v>
      </c>
      <c r="E99" s="22">
        <f t="shared" si="15"/>
        <v>0</v>
      </c>
      <c r="F99" s="30">
        <v>0</v>
      </c>
      <c r="G99" s="22">
        <f t="shared" si="16"/>
        <v>0</v>
      </c>
      <c r="H99" s="30">
        <v>0</v>
      </c>
      <c r="I99" s="22">
        <f t="shared" si="17"/>
        <v>0</v>
      </c>
      <c r="J99" s="30">
        <v>750</v>
      </c>
      <c r="K99" s="22">
        <f t="shared" si="18"/>
        <v>6.0470079888231944E-3</v>
      </c>
      <c r="L99" s="30">
        <v>0</v>
      </c>
      <c r="M99" s="22">
        <f t="shared" si="19"/>
        <v>0</v>
      </c>
      <c r="N99" s="30">
        <v>750</v>
      </c>
      <c r="O99" s="22">
        <f t="shared" si="20"/>
        <v>5.8891658978033412E-3</v>
      </c>
      <c r="P99" s="30">
        <v>0</v>
      </c>
      <c r="Q99" s="22">
        <f t="shared" si="21"/>
        <v>0</v>
      </c>
      <c r="R99" s="30">
        <v>0</v>
      </c>
      <c r="S99" s="22">
        <f t="shared" si="22"/>
        <v>0</v>
      </c>
      <c r="T99" s="30">
        <v>0</v>
      </c>
      <c r="U99" s="22">
        <f t="shared" si="23"/>
        <v>0</v>
      </c>
      <c r="V99" s="30">
        <v>550</v>
      </c>
      <c r="W99" s="22">
        <f t="shared" si="24"/>
        <v>4.7023819702125477E-3</v>
      </c>
      <c r="X99" s="30"/>
      <c r="Y99" s="27">
        <f t="shared" si="25"/>
        <v>0</v>
      </c>
      <c r="Z99" s="17">
        <f t="shared" si="13"/>
        <v>2050</v>
      </c>
      <c r="AA99" s="11">
        <f t="shared" si="26"/>
        <v>1.2644937819350987E-3</v>
      </c>
    </row>
    <row r="100" spans="1:27" x14ac:dyDescent="0.25">
      <c r="A100" s="33" t="s">
        <v>97</v>
      </c>
      <c r="B100" s="30">
        <v>0</v>
      </c>
      <c r="C100" s="22">
        <f t="shared" si="14"/>
        <v>0</v>
      </c>
      <c r="D100" s="30">
        <v>0</v>
      </c>
      <c r="E100" s="22">
        <f t="shared" si="15"/>
        <v>0</v>
      </c>
      <c r="F100" s="30">
        <v>0</v>
      </c>
      <c r="G100" s="22">
        <f t="shared" si="16"/>
        <v>0</v>
      </c>
      <c r="H100" s="30">
        <v>0</v>
      </c>
      <c r="I100" s="22">
        <f t="shared" si="17"/>
        <v>0</v>
      </c>
      <c r="J100" s="30">
        <v>350</v>
      </c>
      <c r="K100" s="22">
        <f t="shared" si="18"/>
        <v>2.8219370614508241E-3</v>
      </c>
      <c r="L100" s="30">
        <v>0</v>
      </c>
      <c r="M100" s="22">
        <f t="shared" si="19"/>
        <v>0</v>
      </c>
      <c r="N100" s="30"/>
      <c r="O100" s="22">
        <f t="shared" si="20"/>
        <v>0</v>
      </c>
      <c r="P100" s="30">
        <v>0</v>
      </c>
      <c r="Q100" s="22">
        <f t="shared" si="21"/>
        <v>0</v>
      </c>
      <c r="R100" s="30">
        <v>0</v>
      </c>
      <c r="S100" s="22">
        <f t="shared" si="22"/>
        <v>0</v>
      </c>
      <c r="T100" s="30">
        <v>0</v>
      </c>
      <c r="U100" s="22">
        <f t="shared" si="23"/>
        <v>0</v>
      </c>
      <c r="V100" s="30">
        <v>0</v>
      </c>
      <c r="W100" s="22">
        <f t="shared" si="24"/>
        <v>0</v>
      </c>
      <c r="X100" s="30"/>
      <c r="Y100" s="27">
        <f t="shared" si="25"/>
        <v>0</v>
      </c>
      <c r="Z100" s="17">
        <f t="shared" si="13"/>
        <v>350</v>
      </c>
      <c r="AA100" s="11">
        <f t="shared" si="26"/>
        <v>2.1588918228160223E-4</v>
      </c>
    </row>
    <row r="101" spans="1:27" x14ac:dyDescent="0.25">
      <c r="A101" s="33" t="s">
        <v>109</v>
      </c>
      <c r="B101" s="30">
        <v>0</v>
      </c>
      <c r="C101" s="22">
        <f t="shared" si="14"/>
        <v>0</v>
      </c>
      <c r="D101" s="30">
        <v>0</v>
      </c>
      <c r="E101" s="22">
        <f t="shared" si="15"/>
        <v>0</v>
      </c>
      <c r="F101" s="30">
        <v>0</v>
      </c>
      <c r="G101" s="22">
        <f t="shared" si="16"/>
        <v>0</v>
      </c>
      <c r="H101" s="30"/>
      <c r="I101" s="22">
        <f t="shared" si="17"/>
        <v>0</v>
      </c>
      <c r="J101" s="30"/>
      <c r="K101" s="22">
        <f t="shared" si="18"/>
        <v>0</v>
      </c>
      <c r="L101" s="30">
        <v>0</v>
      </c>
      <c r="M101" s="22">
        <f t="shared" si="19"/>
        <v>0</v>
      </c>
      <c r="N101" s="30">
        <v>0</v>
      </c>
      <c r="O101" s="22">
        <f t="shared" si="20"/>
        <v>0</v>
      </c>
      <c r="P101" s="30">
        <v>0</v>
      </c>
      <c r="Q101" s="22">
        <f t="shared" si="21"/>
        <v>0</v>
      </c>
      <c r="R101" s="30">
        <v>0</v>
      </c>
      <c r="S101" s="22">
        <f t="shared" si="22"/>
        <v>0</v>
      </c>
      <c r="T101" s="30">
        <v>579.25</v>
      </c>
      <c r="U101" s="22">
        <f t="shared" si="23"/>
        <v>4.850028007498809E-3</v>
      </c>
      <c r="V101" s="30">
        <v>579</v>
      </c>
      <c r="W101" s="22">
        <f t="shared" si="24"/>
        <v>4.950325746823755E-3</v>
      </c>
      <c r="X101" s="30"/>
      <c r="Y101" s="27">
        <f t="shared" si="25"/>
        <v>0</v>
      </c>
      <c r="Z101" s="17">
        <f t="shared" si="13"/>
        <v>1158.25</v>
      </c>
      <c r="AA101" s="11">
        <f t="shared" si="26"/>
        <v>7.1443898679333082E-4</v>
      </c>
    </row>
    <row r="102" spans="1:27" x14ac:dyDescent="0.25">
      <c r="A102" s="33" t="s">
        <v>106</v>
      </c>
      <c r="B102" s="30">
        <v>0</v>
      </c>
      <c r="C102" s="22">
        <f t="shared" si="14"/>
        <v>0</v>
      </c>
      <c r="D102" s="30">
        <v>0</v>
      </c>
      <c r="E102" s="22">
        <f t="shared" si="15"/>
        <v>0</v>
      </c>
      <c r="F102" s="30">
        <v>0</v>
      </c>
      <c r="G102" s="22">
        <f t="shared" si="16"/>
        <v>0</v>
      </c>
      <c r="H102" s="30">
        <v>0</v>
      </c>
      <c r="I102" s="22">
        <f t="shared" si="17"/>
        <v>0</v>
      </c>
      <c r="J102" s="30">
        <v>0</v>
      </c>
      <c r="K102" s="22">
        <f t="shared" si="18"/>
        <v>0</v>
      </c>
      <c r="L102" s="30">
        <v>0</v>
      </c>
      <c r="M102" s="22">
        <f t="shared" si="19"/>
        <v>0</v>
      </c>
      <c r="N102" s="30">
        <v>1000</v>
      </c>
      <c r="O102" s="22">
        <f t="shared" si="20"/>
        <v>7.8522211970711211E-3</v>
      </c>
      <c r="P102" s="30">
        <v>0</v>
      </c>
      <c r="Q102" s="22">
        <f t="shared" si="21"/>
        <v>0</v>
      </c>
      <c r="R102" s="30">
        <v>0</v>
      </c>
      <c r="S102" s="22">
        <f t="shared" si="22"/>
        <v>0</v>
      </c>
      <c r="T102" s="30"/>
      <c r="U102" s="22">
        <f t="shared" si="23"/>
        <v>0</v>
      </c>
      <c r="V102" s="30">
        <v>240</v>
      </c>
      <c r="W102" s="22">
        <f t="shared" si="24"/>
        <v>2.0519484960927481E-3</v>
      </c>
      <c r="X102" s="30"/>
      <c r="Y102" s="27">
        <f t="shared" si="25"/>
        <v>0</v>
      </c>
      <c r="Z102" s="17">
        <f t="shared" si="13"/>
        <v>1240</v>
      </c>
      <c r="AA102" s="11">
        <f t="shared" si="26"/>
        <v>7.6486453151196224E-4</v>
      </c>
    </row>
    <row r="103" spans="1:27" x14ac:dyDescent="0.25">
      <c r="A103" s="33" t="s">
        <v>85</v>
      </c>
      <c r="B103" s="30">
        <v>0</v>
      </c>
      <c r="C103" s="22">
        <f t="shared" si="14"/>
        <v>0</v>
      </c>
      <c r="D103" s="30">
        <v>0</v>
      </c>
      <c r="E103" s="22">
        <f t="shared" si="15"/>
        <v>0</v>
      </c>
      <c r="F103" s="30">
        <v>845.5</v>
      </c>
      <c r="G103" s="22">
        <f t="shared" si="16"/>
        <v>7.0556447953917245E-3</v>
      </c>
      <c r="H103" s="30">
        <v>0</v>
      </c>
      <c r="I103" s="22">
        <f t="shared" si="17"/>
        <v>0</v>
      </c>
      <c r="J103" s="30">
        <v>0</v>
      </c>
      <c r="K103" s="22">
        <f t="shared" si="18"/>
        <v>0</v>
      </c>
      <c r="L103" s="30">
        <v>2400</v>
      </c>
      <c r="M103" s="22">
        <f t="shared" si="19"/>
        <v>1.7994772068844696E-2</v>
      </c>
      <c r="N103" s="30">
        <v>0</v>
      </c>
      <c r="O103" s="22">
        <f t="shared" si="20"/>
        <v>0</v>
      </c>
      <c r="P103" s="30">
        <v>0</v>
      </c>
      <c r="Q103" s="22">
        <f t="shared" si="21"/>
        <v>0</v>
      </c>
      <c r="R103" s="30">
        <v>0</v>
      </c>
      <c r="S103" s="22">
        <f t="shared" si="22"/>
        <v>0</v>
      </c>
      <c r="T103" s="30">
        <v>0</v>
      </c>
      <c r="U103" s="22">
        <f t="shared" si="23"/>
        <v>0</v>
      </c>
      <c r="V103" s="30">
        <v>0</v>
      </c>
      <c r="W103" s="22">
        <f t="shared" si="24"/>
        <v>0</v>
      </c>
      <c r="X103" s="30"/>
      <c r="Y103" s="27">
        <f t="shared" si="25"/>
        <v>0</v>
      </c>
      <c r="Z103" s="17">
        <f t="shared" si="13"/>
        <v>3245.5</v>
      </c>
      <c r="AA103" s="11">
        <f t="shared" si="26"/>
        <v>2.0019095459855429E-3</v>
      </c>
    </row>
    <row r="104" spans="1:27" x14ac:dyDescent="0.25">
      <c r="A104" s="34" t="s">
        <v>98</v>
      </c>
      <c r="B104" s="32">
        <v>0</v>
      </c>
      <c r="C104" s="23">
        <f t="shared" ref="C104:C125" si="27">IFERROR(B104/B$4,"")</f>
        <v>0</v>
      </c>
      <c r="D104" s="32">
        <v>0</v>
      </c>
      <c r="E104" s="23">
        <f t="shared" ref="E104:E125" si="28">IFERROR(D104/D$4,"")</f>
        <v>0</v>
      </c>
      <c r="F104" s="32">
        <v>0</v>
      </c>
      <c r="G104" s="23">
        <f t="shared" ref="G104:G125" si="29">IFERROR(F104/F$4,"")</f>
        <v>0</v>
      </c>
      <c r="H104" s="32">
        <v>0</v>
      </c>
      <c r="I104" s="23">
        <f t="shared" ref="I104:I125" si="30">IFERROR(H104/H$4,"")</f>
        <v>0</v>
      </c>
      <c r="J104" s="32">
        <v>550</v>
      </c>
      <c r="K104" s="23">
        <f t="shared" ref="K104:K125" si="31">IFERROR(J104/J$4,"")</f>
        <v>4.4344725251370095E-3</v>
      </c>
      <c r="L104" s="32">
        <v>550</v>
      </c>
      <c r="M104" s="23">
        <f t="shared" ref="M104:M125" si="32">IFERROR(L104/L$4,"")</f>
        <v>4.1238019324435762E-3</v>
      </c>
      <c r="N104" s="32">
        <v>550</v>
      </c>
      <c r="O104" s="23">
        <f t="shared" ref="O104:O125" si="33">IFERROR(N104/N$4,"")</f>
        <v>4.3187216583891169E-3</v>
      </c>
      <c r="P104" s="32">
        <v>440</v>
      </c>
      <c r="Q104" s="23">
        <f t="shared" ref="Q104:Q125" si="34">IFERROR(P104/P$4,"")</f>
        <v>3.7981238476686467E-3</v>
      </c>
      <c r="R104" s="32">
        <v>440</v>
      </c>
      <c r="S104" s="23">
        <f t="shared" ref="S104:S125" si="35">IFERROR(R104/R$4,"")</f>
        <v>3.5437527826513325E-3</v>
      </c>
      <c r="T104" s="32">
        <v>1398</v>
      </c>
      <c r="U104" s="23">
        <f t="shared" ref="U104:U125" si="36">IFERROR(T104/T$4,"")</f>
        <v>1.1705376183829668E-2</v>
      </c>
      <c r="V104" s="32">
        <v>440</v>
      </c>
      <c r="W104" s="23">
        <f t="shared" ref="W104:W125" si="37">IFERROR(V104/V$4,"")</f>
        <v>3.7619055761700382E-3</v>
      </c>
      <c r="X104" s="32">
        <v>1398</v>
      </c>
      <c r="Y104" s="28">
        <f t="shared" ref="Y104:Y125" si="38">IFERROR(X104/X$4,"")</f>
        <v>8.4937748467976363E-3</v>
      </c>
      <c r="Z104" s="18">
        <f t="shared" si="13"/>
        <v>5766</v>
      </c>
      <c r="AA104" s="12">
        <f t="shared" ref="AA104:AA125" si="39">IFERROR(Z104/Z$4,"")</f>
        <v>3.5566200715306242E-3</v>
      </c>
    </row>
    <row r="105" spans="1:27" s="1" customFormat="1" x14ac:dyDescent="0.25">
      <c r="A105" s="15" t="s">
        <v>6</v>
      </c>
      <c r="B105" s="6">
        <f>B46-B47</f>
        <v>106664.55200000004</v>
      </c>
      <c r="C105" s="20">
        <f t="shared" si="27"/>
        <v>0.47847377953572545</v>
      </c>
      <c r="D105" s="6">
        <f>D46-D47</f>
        <v>26803.790000000023</v>
      </c>
      <c r="E105" s="20">
        <f t="shared" si="28"/>
        <v>0.19302168291972296</v>
      </c>
      <c r="F105" s="6">
        <f>F46-F47</f>
        <v>8660.9699999999866</v>
      </c>
      <c r="G105" s="20">
        <f t="shared" si="29"/>
        <v>7.2275254764688088E-2</v>
      </c>
      <c r="H105" s="6">
        <f>H46-H47</f>
        <v>6050.5699999999924</v>
      </c>
      <c r="I105" s="20">
        <f t="shared" si="30"/>
        <v>5.3153927178073407E-2</v>
      </c>
      <c r="J105" s="6">
        <f>J46-J47</f>
        <v>11009.399999999994</v>
      </c>
      <c r="K105" s="20">
        <f t="shared" si="31"/>
        <v>8.8765239669533383E-2</v>
      </c>
      <c r="L105" s="6">
        <f>L46-L47</f>
        <v>27746.660000000018</v>
      </c>
      <c r="M105" s="20">
        <f t="shared" si="32"/>
        <v>0.20803950932155449</v>
      </c>
      <c r="N105" s="6">
        <f>N46-N47</f>
        <v>9958.1699999999837</v>
      </c>
      <c r="O105" s="20">
        <f t="shared" si="33"/>
        <v>7.8193753558037607E-2</v>
      </c>
      <c r="P105" s="6">
        <f>P46-P47</f>
        <v>13361.410000000003</v>
      </c>
      <c r="Q105" s="20">
        <f t="shared" si="34"/>
        <v>0.11533702263517806</v>
      </c>
      <c r="R105" s="6">
        <f>R46-R47</f>
        <v>15008.830000000002</v>
      </c>
      <c r="S105" s="20">
        <f t="shared" si="35"/>
        <v>0.12088087062918365</v>
      </c>
      <c r="T105" s="6">
        <f>T46-T47</f>
        <v>12117.359999999986</v>
      </c>
      <c r="U105" s="20">
        <f t="shared" si="36"/>
        <v>0.10145798079748936</v>
      </c>
      <c r="V105" s="6">
        <f>V46-V47</f>
        <v>4280.0600000000122</v>
      </c>
      <c r="W105" s="20">
        <f t="shared" si="37"/>
        <v>3.6593594500778134E-2</v>
      </c>
      <c r="X105" s="6">
        <f>X46-X47</f>
        <v>20982.806000000011</v>
      </c>
      <c r="Y105" s="25">
        <f t="shared" si="38"/>
        <v>0.12748442762377299</v>
      </c>
      <c r="Z105" s="6">
        <f t="shared" ref="Z105:Z125" si="40">B105+D105+F105+H105+J105+L105+N105+P105+R105+T105+V105+X105</f>
        <v>262644.57799999998</v>
      </c>
      <c r="AA105" s="9">
        <f t="shared" si="39"/>
        <v>0.16200606621461855</v>
      </c>
    </row>
    <row r="106" spans="1:27" s="1" customFormat="1" x14ac:dyDescent="0.25">
      <c r="A106" s="14" t="s">
        <v>7</v>
      </c>
      <c r="B106" s="5">
        <f>SUM(B107:B124)</f>
        <v>0</v>
      </c>
      <c r="C106" s="21">
        <f t="shared" si="27"/>
        <v>0</v>
      </c>
      <c r="D106" s="5">
        <f>SUM(D107:D124)</f>
        <v>10890</v>
      </c>
      <c r="E106" s="21">
        <f t="shared" si="28"/>
        <v>7.8421974168421005E-2</v>
      </c>
      <c r="F106" s="5">
        <f>SUM(F107:F124)</f>
        <v>0</v>
      </c>
      <c r="G106" s="21">
        <f t="shared" si="29"/>
        <v>0</v>
      </c>
      <c r="H106" s="5">
        <f>SUM(H107:H124)</f>
        <v>0</v>
      </c>
      <c r="I106" s="21">
        <f t="shared" si="30"/>
        <v>0</v>
      </c>
      <c r="J106" s="5">
        <f>SUM(J107:J124)</f>
        <v>0</v>
      </c>
      <c r="K106" s="21">
        <f t="shared" si="31"/>
        <v>0</v>
      </c>
      <c r="L106" s="5">
        <f>SUM(L107:L124)</f>
        <v>900</v>
      </c>
      <c r="M106" s="21">
        <f t="shared" si="32"/>
        <v>6.7480395258167616E-3</v>
      </c>
      <c r="N106" s="5">
        <f>SUM(N107:N124)</f>
        <v>1699</v>
      </c>
      <c r="O106" s="21">
        <f t="shared" si="33"/>
        <v>1.3340923813823836E-2</v>
      </c>
      <c r="P106" s="5">
        <f>SUM(P107:P124)</f>
        <v>629</v>
      </c>
      <c r="Q106" s="21">
        <f t="shared" si="34"/>
        <v>5.4295906822354068E-3</v>
      </c>
      <c r="R106" s="5">
        <f>SUM(R107:R124)</f>
        <v>5100</v>
      </c>
      <c r="S106" s="21">
        <f t="shared" si="35"/>
        <v>4.1075316344367722E-2</v>
      </c>
      <c r="T106" s="5">
        <f>SUM(T107:T124)</f>
        <v>0</v>
      </c>
      <c r="U106" s="21">
        <f t="shared" si="36"/>
        <v>0</v>
      </c>
      <c r="V106" s="5">
        <f>SUM(V107:V124)</f>
        <v>6697.92</v>
      </c>
      <c r="W106" s="21">
        <f t="shared" si="37"/>
        <v>5.7265778628956411E-2</v>
      </c>
      <c r="X106" s="5">
        <f>SUM(X107:X124)</f>
        <v>3000</v>
      </c>
      <c r="Y106" s="26">
        <f t="shared" si="38"/>
        <v>1.8226984649780335E-2</v>
      </c>
      <c r="Z106" s="4">
        <f t="shared" si="40"/>
        <v>28915.919999999998</v>
      </c>
      <c r="AA106" s="10">
        <f t="shared" si="39"/>
        <v>1.7836098067772078E-2</v>
      </c>
    </row>
    <row r="107" spans="1:27" x14ac:dyDescent="0.25">
      <c r="A107" s="33" t="s">
        <v>89</v>
      </c>
      <c r="B107" s="30">
        <v>0</v>
      </c>
      <c r="C107" s="22">
        <f t="shared" si="27"/>
        <v>0</v>
      </c>
      <c r="D107" s="30">
        <v>9300</v>
      </c>
      <c r="E107" s="22">
        <f t="shared" si="28"/>
        <v>6.6971933862838881E-2</v>
      </c>
      <c r="F107" s="30">
        <v>0</v>
      </c>
      <c r="G107" s="22">
        <f t="shared" si="29"/>
        <v>0</v>
      </c>
      <c r="H107" s="30">
        <v>0</v>
      </c>
      <c r="I107" s="22">
        <f t="shared" si="30"/>
        <v>0</v>
      </c>
      <c r="J107" s="30">
        <v>0</v>
      </c>
      <c r="K107" s="22">
        <f t="shared" si="31"/>
        <v>0</v>
      </c>
      <c r="L107" s="30">
        <v>0</v>
      </c>
      <c r="M107" s="22">
        <f t="shared" si="32"/>
        <v>0</v>
      </c>
      <c r="N107" s="30">
        <v>0</v>
      </c>
      <c r="O107" s="22">
        <f t="shared" si="33"/>
        <v>0</v>
      </c>
      <c r="P107" s="30">
        <v>0</v>
      </c>
      <c r="Q107" s="22">
        <f t="shared" si="34"/>
        <v>0</v>
      </c>
      <c r="R107" s="30">
        <v>0</v>
      </c>
      <c r="S107" s="22">
        <f t="shared" si="35"/>
        <v>0</v>
      </c>
      <c r="T107" s="30">
        <v>0</v>
      </c>
      <c r="U107" s="22">
        <f t="shared" si="36"/>
        <v>0</v>
      </c>
      <c r="V107" s="30">
        <v>0</v>
      </c>
      <c r="W107" s="22">
        <f t="shared" si="37"/>
        <v>0</v>
      </c>
      <c r="X107" s="30"/>
      <c r="Y107" s="27">
        <f t="shared" si="38"/>
        <v>0</v>
      </c>
      <c r="Z107" s="17">
        <f t="shared" si="40"/>
        <v>9300</v>
      </c>
      <c r="AA107" s="11">
        <f t="shared" si="39"/>
        <v>5.7364839863397162E-3</v>
      </c>
    </row>
    <row r="108" spans="1:27" x14ac:dyDescent="0.25">
      <c r="A108" s="33" t="s">
        <v>48</v>
      </c>
      <c r="B108" s="30">
        <v>0</v>
      </c>
      <c r="C108" s="22">
        <f t="shared" si="27"/>
        <v>0</v>
      </c>
      <c r="D108" s="30">
        <v>0</v>
      </c>
      <c r="E108" s="22">
        <f t="shared" si="28"/>
        <v>0</v>
      </c>
      <c r="F108" s="30">
        <v>0</v>
      </c>
      <c r="G108" s="22">
        <f t="shared" si="29"/>
        <v>0</v>
      </c>
      <c r="H108" s="30">
        <v>0</v>
      </c>
      <c r="I108" s="22">
        <f t="shared" si="30"/>
        <v>0</v>
      </c>
      <c r="J108" s="30">
        <v>0</v>
      </c>
      <c r="K108" s="22">
        <f t="shared" si="31"/>
        <v>0</v>
      </c>
      <c r="L108" s="30">
        <v>0</v>
      </c>
      <c r="M108" s="22">
        <f t="shared" si="32"/>
        <v>0</v>
      </c>
      <c r="N108" s="30"/>
      <c r="O108" s="22">
        <f t="shared" si="33"/>
        <v>0</v>
      </c>
      <c r="P108" s="30">
        <v>0</v>
      </c>
      <c r="Q108" s="22">
        <f t="shared" si="34"/>
        <v>0</v>
      </c>
      <c r="R108" s="30"/>
      <c r="S108" s="22">
        <f t="shared" si="35"/>
        <v>0</v>
      </c>
      <c r="T108" s="30"/>
      <c r="U108" s="22">
        <f t="shared" si="36"/>
        <v>0</v>
      </c>
      <c r="V108" s="30">
        <v>0</v>
      </c>
      <c r="W108" s="22">
        <f t="shared" si="37"/>
        <v>0</v>
      </c>
      <c r="X108" s="30"/>
      <c r="Y108" s="27">
        <f t="shared" si="38"/>
        <v>0</v>
      </c>
      <c r="Z108" s="17">
        <f t="shared" si="40"/>
        <v>0</v>
      </c>
      <c r="AA108" s="11">
        <f t="shared" si="39"/>
        <v>0</v>
      </c>
    </row>
    <row r="109" spans="1:27" x14ac:dyDescent="0.25">
      <c r="A109" s="33" t="s">
        <v>88</v>
      </c>
      <c r="B109" s="30">
        <v>0</v>
      </c>
      <c r="C109" s="22">
        <f t="shared" si="27"/>
        <v>0</v>
      </c>
      <c r="D109" s="30">
        <v>1590</v>
      </c>
      <c r="E109" s="22">
        <f t="shared" si="28"/>
        <v>1.1450040305582131E-2</v>
      </c>
      <c r="F109" s="30">
        <v>0</v>
      </c>
      <c r="G109" s="22">
        <f t="shared" si="29"/>
        <v>0</v>
      </c>
      <c r="H109" s="30">
        <v>0</v>
      </c>
      <c r="I109" s="22">
        <f t="shared" si="30"/>
        <v>0</v>
      </c>
      <c r="J109" s="30">
        <v>0</v>
      </c>
      <c r="K109" s="22">
        <f t="shared" si="31"/>
        <v>0</v>
      </c>
      <c r="L109" s="30">
        <v>0</v>
      </c>
      <c r="M109" s="22">
        <f t="shared" si="32"/>
        <v>0</v>
      </c>
      <c r="N109" s="30">
        <v>0</v>
      </c>
      <c r="O109" s="22">
        <f t="shared" si="33"/>
        <v>0</v>
      </c>
      <c r="P109" s="30">
        <v>0</v>
      </c>
      <c r="Q109" s="22">
        <f t="shared" si="34"/>
        <v>0</v>
      </c>
      <c r="R109" s="30">
        <v>0</v>
      </c>
      <c r="S109" s="22">
        <f t="shared" si="35"/>
        <v>0</v>
      </c>
      <c r="T109" s="30">
        <v>0</v>
      </c>
      <c r="U109" s="22">
        <f t="shared" si="36"/>
        <v>0</v>
      </c>
      <c r="V109" s="30">
        <v>0</v>
      </c>
      <c r="W109" s="22">
        <f t="shared" si="37"/>
        <v>0</v>
      </c>
      <c r="X109" s="30">
        <v>0</v>
      </c>
      <c r="Y109" s="27">
        <f t="shared" si="38"/>
        <v>0</v>
      </c>
      <c r="Z109" s="17">
        <f t="shared" si="40"/>
        <v>1590</v>
      </c>
      <c r="AA109" s="11">
        <f t="shared" si="39"/>
        <v>9.8075371379356441E-4</v>
      </c>
    </row>
    <row r="110" spans="1:27" x14ac:dyDescent="0.25">
      <c r="A110" s="33" t="s">
        <v>104</v>
      </c>
      <c r="B110" s="30">
        <v>0</v>
      </c>
      <c r="C110" s="22"/>
      <c r="D110" s="30">
        <v>0</v>
      </c>
      <c r="E110" s="22"/>
      <c r="F110" s="30">
        <v>0</v>
      </c>
      <c r="G110" s="22"/>
      <c r="H110" s="30">
        <v>0</v>
      </c>
      <c r="I110" s="22"/>
      <c r="J110" s="30">
        <v>0</v>
      </c>
      <c r="K110" s="22"/>
      <c r="L110" s="30">
        <v>0</v>
      </c>
      <c r="M110" s="22"/>
      <c r="N110" s="30">
        <v>0</v>
      </c>
      <c r="O110" s="22"/>
      <c r="P110" s="30">
        <v>0</v>
      </c>
      <c r="Q110" s="22"/>
      <c r="R110" s="30">
        <v>0</v>
      </c>
      <c r="S110" s="22"/>
      <c r="T110" s="30">
        <v>0</v>
      </c>
      <c r="U110" s="22"/>
      <c r="V110" s="30">
        <v>0</v>
      </c>
      <c r="W110" s="22"/>
      <c r="X110" s="30"/>
      <c r="Y110" s="27"/>
      <c r="Z110" s="17"/>
      <c r="AA110" s="11"/>
    </row>
    <row r="111" spans="1:27" x14ac:dyDescent="0.25">
      <c r="A111" s="33" t="s">
        <v>101</v>
      </c>
      <c r="B111" s="30">
        <v>0</v>
      </c>
      <c r="C111" s="22"/>
      <c r="D111" s="30">
        <v>0</v>
      </c>
      <c r="E111" s="22"/>
      <c r="F111" s="30">
        <v>0</v>
      </c>
      <c r="G111" s="22"/>
      <c r="H111" s="30">
        <v>0</v>
      </c>
      <c r="I111" s="22"/>
      <c r="J111" s="30">
        <v>0</v>
      </c>
      <c r="K111" s="22"/>
      <c r="L111" s="30">
        <v>900</v>
      </c>
      <c r="M111" s="22"/>
      <c r="N111" s="30">
        <v>0</v>
      </c>
      <c r="O111" s="22"/>
      <c r="P111" s="30">
        <v>0</v>
      </c>
      <c r="Q111" s="22"/>
      <c r="R111" s="30">
        <v>0</v>
      </c>
      <c r="S111" s="22"/>
      <c r="T111" s="30">
        <v>0</v>
      </c>
      <c r="U111" s="22"/>
      <c r="V111" s="30">
        <v>0</v>
      </c>
      <c r="W111" s="22"/>
      <c r="X111" s="30"/>
      <c r="Y111" s="27"/>
      <c r="Z111" s="17"/>
      <c r="AA111" s="11"/>
    </row>
    <row r="112" spans="1:27" x14ac:dyDescent="0.25">
      <c r="A112" s="33" t="s">
        <v>110</v>
      </c>
      <c r="B112" s="30">
        <v>0</v>
      </c>
      <c r="C112" s="22"/>
      <c r="D112" s="30">
        <v>0</v>
      </c>
      <c r="E112" s="22"/>
      <c r="F112" s="30">
        <v>0</v>
      </c>
      <c r="G112" s="22"/>
      <c r="H112" s="30">
        <v>0</v>
      </c>
      <c r="I112" s="22"/>
      <c r="J112" s="30">
        <v>0</v>
      </c>
      <c r="K112" s="22"/>
      <c r="L112" s="30">
        <v>0</v>
      </c>
      <c r="M112" s="22"/>
      <c r="N112" s="30">
        <v>0</v>
      </c>
      <c r="O112" s="22"/>
      <c r="P112" s="30">
        <v>629</v>
      </c>
      <c r="Q112" s="22"/>
      <c r="R112" s="30">
        <v>0</v>
      </c>
      <c r="S112" s="22"/>
      <c r="T112" s="30">
        <v>0</v>
      </c>
      <c r="U112" s="22"/>
      <c r="V112" s="30">
        <v>0</v>
      </c>
      <c r="W112" s="22"/>
      <c r="X112" s="30"/>
      <c r="Y112" s="27"/>
      <c r="Z112" s="17"/>
      <c r="AA112" s="11"/>
    </row>
    <row r="113" spans="1:27" x14ac:dyDescent="0.25">
      <c r="A113" s="33" t="s">
        <v>112</v>
      </c>
      <c r="B113" s="30">
        <v>0</v>
      </c>
      <c r="C113" s="22"/>
      <c r="D113" s="30">
        <v>0</v>
      </c>
      <c r="E113" s="22"/>
      <c r="F113" s="30">
        <v>0</v>
      </c>
      <c r="G113" s="22"/>
      <c r="H113" s="30">
        <v>0</v>
      </c>
      <c r="I113" s="22"/>
      <c r="J113" s="30">
        <v>0</v>
      </c>
      <c r="K113" s="22"/>
      <c r="L113" s="30">
        <v>0</v>
      </c>
      <c r="M113" s="22"/>
      <c r="N113" s="30">
        <v>0</v>
      </c>
      <c r="O113" s="22"/>
      <c r="P113" s="30">
        <v>0</v>
      </c>
      <c r="Q113" s="22"/>
      <c r="R113" s="30">
        <v>0</v>
      </c>
      <c r="S113" s="22"/>
      <c r="T113" s="30">
        <v>0</v>
      </c>
      <c r="U113" s="22"/>
      <c r="V113" s="30">
        <v>1499.31</v>
      </c>
      <c r="W113" s="22"/>
      <c r="X113" s="30"/>
      <c r="Y113" s="27"/>
      <c r="Z113" s="17"/>
      <c r="AA113" s="11"/>
    </row>
    <row r="114" spans="1:27" x14ac:dyDescent="0.25">
      <c r="A114" s="33" t="s">
        <v>114</v>
      </c>
      <c r="B114" s="30">
        <v>0</v>
      </c>
      <c r="C114" s="22"/>
      <c r="D114" s="30">
        <v>0</v>
      </c>
      <c r="E114" s="22"/>
      <c r="F114" s="30">
        <v>0</v>
      </c>
      <c r="G114" s="22"/>
      <c r="H114" s="30">
        <v>0</v>
      </c>
      <c r="I114" s="22"/>
      <c r="J114" s="30">
        <v>0</v>
      </c>
      <c r="K114" s="22"/>
      <c r="L114" s="30">
        <v>0</v>
      </c>
      <c r="M114" s="22"/>
      <c r="N114" s="30">
        <v>0</v>
      </c>
      <c r="O114" s="22"/>
      <c r="P114" s="30">
        <v>0</v>
      </c>
      <c r="Q114" s="22"/>
      <c r="R114" s="30">
        <v>0</v>
      </c>
      <c r="S114" s="22"/>
      <c r="T114" s="30">
        <v>0</v>
      </c>
      <c r="U114" s="22"/>
      <c r="V114" s="30">
        <v>0</v>
      </c>
      <c r="W114" s="22"/>
      <c r="X114" s="30">
        <v>500</v>
      </c>
      <c r="Y114" s="27"/>
      <c r="Z114" s="17"/>
      <c r="AA114" s="11"/>
    </row>
    <row r="115" spans="1:27" x14ac:dyDescent="0.25">
      <c r="A115" s="33"/>
      <c r="B115" s="30"/>
      <c r="C115" s="22"/>
      <c r="D115" s="30"/>
      <c r="E115" s="22"/>
      <c r="F115" s="30"/>
      <c r="G115" s="22"/>
      <c r="H115" s="30"/>
      <c r="I115" s="22"/>
      <c r="J115" s="30"/>
      <c r="K115" s="22"/>
      <c r="L115" s="30"/>
      <c r="M115" s="22"/>
      <c r="N115" s="30"/>
      <c r="O115" s="22"/>
      <c r="P115" s="30"/>
      <c r="Q115" s="22"/>
      <c r="R115" s="30"/>
      <c r="S115" s="22"/>
      <c r="T115" s="30"/>
      <c r="U115" s="22"/>
      <c r="V115" s="30"/>
      <c r="W115" s="22"/>
      <c r="X115" s="30"/>
      <c r="Y115" s="27"/>
      <c r="Z115" s="17"/>
      <c r="AA115" s="11"/>
    </row>
    <row r="116" spans="1:27" x14ac:dyDescent="0.25">
      <c r="A116" s="33"/>
      <c r="B116" s="30"/>
      <c r="C116" s="22"/>
      <c r="D116" s="30"/>
      <c r="E116" s="22"/>
      <c r="F116" s="30"/>
      <c r="G116" s="22"/>
      <c r="H116" s="30"/>
      <c r="I116" s="22"/>
      <c r="J116" s="30"/>
      <c r="K116" s="22"/>
      <c r="L116" s="30"/>
      <c r="M116" s="22"/>
      <c r="N116" s="30"/>
      <c r="O116" s="22"/>
      <c r="P116" s="30"/>
      <c r="Q116" s="22"/>
      <c r="R116" s="30"/>
      <c r="S116" s="22"/>
      <c r="T116" s="30"/>
      <c r="U116" s="22"/>
      <c r="V116" s="30"/>
      <c r="W116" s="22"/>
      <c r="X116" s="30"/>
      <c r="Y116" s="27"/>
      <c r="Z116" s="17"/>
      <c r="AA116" s="11"/>
    </row>
    <row r="117" spans="1:27" x14ac:dyDescent="0.25">
      <c r="A117" s="33"/>
      <c r="B117" s="30"/>
      <c r="C117" s="22"/>
      <c r="D117" s="30"/>
      <c r="E117" s="22"/>
      <c r="F117" s="30"/>
      <c r="G117" s="22"/>
      <c r="H117" s="30"/>
      <c r="I117" s="22"/>
      <c r="J117" s="30"/>
      <c r="K117" s="22"/>
      <c r="L117" s="30"/>
      <c r="M117" s="22"/>
      <c r="N117" s="30"/>
      <c r="O117" s="22"/>
      <c r="P117" s="30"/>
      <c r="Q117" s="22"/>
      <c r="R117" s="30"/>
      <c r="S117" s="22"/>
      <c r="T117" s="30"/>
      <c r="U117" s="22"/>
      <c r="V117" s="30"/>
      <c r="W117" s="22"/>
      <c r="X117" s="30"/>
      <c r="Y117" s="27"/>
      <c r="Z117" s="17"/>
      <c r="AA117" s="11"/>
    </row>
    <row r="118" spans="1:27" x14ac:dyDescent="0.25">
      <c r="A118" s="33"/>
      <c r="B118" s="30"/>
      <c r="C118" s="22"/>
      <c r="D118" s="30"/>
      <c r="E118" s="22"/>
      <c r="F118" s="30"/>
      <c r="G118" s="22"/>
      <c r="H118" s="30"/>
      <c r="I118" s="22"/>
      <c r="J118" s="30"/>
      <c r="K118" s="22"/>
      <c r="L118" s="30"/>
      <c r="M118" s="22"/>
      <c r="N118" s="30"/>
      <c r="O118" s="22"/>
      <c r="P118" s="30"/>
      <c r="Q118" s="22"/>
      <c r="R118" s="30"/>
      <c r="S118" s="22"/>
      <c r="T118" s="30"/>
      <c r="U118" s="22"/>
      <c r="V118" s="30"/>
      <c r="W118" s="22"/>
      <c r="X118" s="30"/>
      <c r="Y118" s="27"/>
      <c r="Z118" s="17"/>
      <c r="AA118" s="11"/>
    </row>
    <row r="119" spans="1:27" x14ac:dyDescent="0.25">
      <c r="A119" s="33"/>
      <c r="B119" s="30"/>
      <c r="C119" s="22"/>
      <c r="D119" s="30"/>
      <c r="E119" s="22"/>
      <c r="F119" s="30"/>
      <c r="G119" s="22"/>
      <c r="H119" s="30"/>
      <c r="I119" s="22"/>
      <c r="J119" s="30"/>
      <c r="K119" s="22"/>
      <c r="L119" s="30"/>
      <c r="M119" s="22"/>
      <c r="N119" s="30"/>
      <c r="O119" s="22"/>
      <c r="P119" s="30"/>
      <c r="Q119" s="22"/>
      <c r="R119" s="30"/>
      <c r="S119" s="22"/>
      <c r="T119" s="30"/>
      <c r="U119" s="22"/>
      <c r="V119" s="30"/>
      <c r="W119" s="22"/>
      <c r="X119" s="30"/>
      <c r="Y119" s="27"/>
      <c r="Z119" s="17"/>
      <c r="AA119" s="11"/>
    </row>
    <row r="120" spans="1:27" x14ac:dyDescent="0.25">
      <c r="A120" s="33"/>
      <c r="B120" s="30"/>
      <c r="C120" s="22"/>
      <c r="D120" s="30"/>
      <c r="E120" s="22"/>
      <c r="F120" s="30"/>
      <c r="G120" s="22"/>
      <c r="H120" s="30"/>
      <c r="I120" s="22"/>
      <c r="J120" s="30"/>
      <c r="K120" s="22"/>
      <c r="L120" s="30"/>
      <c r="M120" s="22"/>
      <c r="N120" s="30"/>
      <c r="O120" s="22"/>
      <c r="P120" s="30"/>
      <c r="Q120" s="22"/>
      <c r="R120" s="30"/>
      <c r="S120" s="22"/>
      <c r="T120" s="30"/>
      <c r="U120" s="22"/>
      <c r="V120" s="30"/>
      <c r="W120" s="22"/>
      <c r="X120" s="30"/>
      <c r="Y120" s="27"/>
      <c r="Z120" s="17"/>
      <c r="AA120" s="11"/>
    </row>
    <row r="121" spans="1:27" x14ac:dyDescent="0.25">
      <c r="A121" s="33" t="s">
        <v>108</v>
      </c>
      <c r="B121" s="30">
        <v>0</v>
      </c>
      <c r="C121" s="22"/>
      <c r="D121" s="30">
        <v>0</v>
      </c>
      <c r="E121" s="22"/>
      <c r="F121" s="30">
        <v>0</v>
      </c>
      <c r="G121" s="22"/>
      <c r="H121" s="30">
        <v>0</v>
      </c>
      <c r="I121" s="22"/>
      <c r="J121" s="30">
        <v>0</v>
      </c>
      <c r="K121" s="22"/>
      <c r="L121" s="30">
        <v>0</v>
      </c>
      <c r="M121" s="22"/>
      <c r="N121" s="30">
        <v>0</v>
      </c>
      <c r="O121" s="22"/>
      <c r="P121" s="30">
        <v>0</v>
      </c>
      <c r="Q121" s="22"/>
      <c r="R121" s="30">
        <v>5100</v>
      </c>
      <c r="S121" s="22"/>
      <c r="T121" s="30"/>
      <c r="U121" s="22"/>
      <c r="V121" s="30">
        <v>3000</v>
      </c>
      <c r="W121" s="22"/>
      <c r="X121" s="30"/>
      <c r="Y121" s="27"/>
      <c r="Z121" s="17"/>
      <c r="AA121" s="11"/>
    </row>
    <row r="122" spans="1:27" x14ac:dyDescent="0.25">
      <c r="A122" s="33" t="s">
        <v>105</v>
      </c>
      <c r="B122" s="30">
        <v>0</v>
      </c>
      <c r="C122" s="22">
        <f t="shared" si="27"/>
        <v>0</v>
      </c>
      <c r="D122" s="30">
        <v>0</v>
      </c>
      <c r="E122" s="22">
        <f t="shared" si="28"/>
        <v>0</v>
      </c>
      <c r="F122" s="30">
        <v>0</v>
      </c>
      <c r="G122" s="22">
        <f t="shared" si="29"/>
        <v>0</v>
      </c>
      <c r="H122" s="30"/>
      <c r="I122" s="22">
        <f t="shared" si="30"/>
        <v>0</v>
      </c>
      <c r="J122" s="30">
        <v>0</v>
      </c>
      <c r="K122" s="22">
        <f t="shared" si="31"/>
        <v>0</v>
      </c>
      <c r="L122" s="30">
        <v>0</v>
      </c>
      <c r="M122" s="22">
        <f t="shared" si="32"/>
        <v>0</v>
      </c>
      <c r="N122" s="30">
        <v>1699</v>
      </c>
      <c r="O122" s="22">
        <f t="shared" si="33"/>
        <v>1.3340923813823836E-2</v>
      </c>
      <c r="P122" s="30">
        <v>0</v>
      </c>
      <c r="Q122" s="22">
        <f t="shared" si="34"/>
        <v>0</v>
      </c>
      <c r="R122" s="30">
        <v>0</v>
      </c>
      <c r="S122" s="22">
        <f t="shared" si="35"/>
        <v>0</v>
      </c>
      <c r="T122" s="30">
        <v>0</v>
      </c>
      <c r="U122" s="22">
        <f t="shared" si="36"/>
        <v>0</v>
      </c>
      <c r="V122" s="30">
        <v>699.3</v>
      </c>
      <c r="W122" s="22">
        <f t="shared" si="37"/>
        <v>5.9788649304902443E-3</v>
      </c>
      <c r="X122" s="30"/>
      <c r="Y122" s="27">
        <f t="shared" si="38"/>
        <v>0</v>
      </c>
      <c r="Z122" s="17">
        <f t="shared" si="40"/>
        <v>2398.3000000000002</v>
      </c>
      <c r="AA122" s="11">
        <f t="shared" si="39"/>
        <v>1.4793343596170476E-3</v>
      </c>
    </row>
    <row r="123" spans="1:27" x14ac:dyDescent="0.25">
      <c r="A123" s="33" t="s">
        <v>111</v>
      </c>
      <c r="B123" s="30">
        <v>0</v>
      </c>
      <c r="C123" s="22">
        <f t="shared" si="27"/>
        <v>0</v>
      </c>
      <c r="D123" s="30">
        <v>0</v>
      </c>
      <c r="E123" s="22">
        <f t="shared" si="28"/>
        <v>0</v>
      </c>
      <c r="F123" s="30">
        <v>0</v>
      </c>
      <c r="G123" s="22">
        <f t="shared" si="29"/>
        <v>0</v>
      </c>
      <c r="H123" s="30">
        <v>0</v>
      </c>
      <c r="I123" s="22">
        <f t="shared" si="30"/>
        <v>0</v>
      </c>
      <c r="J123" s="30">
        <v>0</v>
      </c>
      <c r="K123" s="22">
        <f t="shared" si="31"/>
        <v>0</v>
      </c>
      <c r="L123" s="30">
        <v>0</v>
      </c>
      <c r="M123" s="22">
        <f t="shared" si="32"/>
        <v>0</v>
      </c>
      <c r="N123" s="30">
        <v>0</v>
      </c>
      <c r="O123" s="22">
        <f t="shared" si="33"/>
        <v>0</v>
      </c>
      <c r="P123" s="30">
        <v>0</v>
      </c>
      <c r="Q123" s="22">
        <f t="shared" si="34"/>
        <v>0</v>
      </c>
      <c r="R123" s="30">
        <v>0</v>
      </c>
      <c r="S123" s="22">
        <f t="shared" si="35"/>
        <v>0</v>
      </c>
      <c r="T123" s="30">
        <v>0</v>
      </c>
      <c r="U123" s="22">
        <f t="shared" si="36"/>
        <v>0</v>
      </c>
      <c r="V123" s="30">
        <v>1499.31</v>
      </c>
      <c r="W123" s="22">
        <f t="shared" si="37"/>
        <v>1.2818778748653408E-2</v>
      </c>
      <c r="X123" s="30"/>
      <c r="Y123" s="27">
        <f t="shared" si="38"/>
        <v>0</v>
      </c>
      <c r="Z123" s="17">
        <f t="shared" si="40"/>
        <v>1499.31</v>
      </c>
      <c r="AA123" s="11">
        <f t="shared" si="39"/>
        <v>9.2481374253322579E-4</v>
      </c>
    </row>
    <row r="124" spans="1:27" x14ac:dyDescent="0.25">
      <c r="A124" s="34" t="s">
        <v>115</v>
      </c>
      <c r="B124" s="32">
        <v>0</v>
      </c>
      <c r="C124" s="23">
        <f t="shared" si="27"/>
        <v>0</v>
      </c>
      <c r="D124" s="32">
        <v>0</v>
      </c>
      <c r="E124" s="23">
        <f t="shared" si="28"/>
        <v>0</v>
      </c>
      <c r="F124" s="32">
        <v>0</v>
      </c>
      <c r="G124" s="23">
        <f t="shared" si="29"/>
        <v>0</v>
      </c>
      <c r="H124" s="32">
        <v>0</v>
      </c>
      <c r="I124" s="23">
        <f t="shared" si="30"/>
        <v>0</v>
      </c>
      <c r="J124" s="32">
        <v>0</v>
      </c>
      <c r="K124" s="23">
        <f t="shared" si="31"/>
        <v>0</v>
      </c>
      <c r="L124" s="32">
        <v>0</v>
      </c>
      <c r="M124" s="23">
        <f t="shared" si="32"/>
        <v>0</v>
      </c>
      <c r="N124" s="32">
        <v>0</v>
      </c>
      <c r="O124" s="23">
        <f t="shared" si="33"/>
        <v>0</v>
      </c>
      <c r="P124" s="32">
        <v>0</v>
      </c>
      <c r="Q124" s="23">
        <f t="shared" si="34"/>
        <v>0</v>
      </c>
      <c r="R124" s="32">
        <v>0</v>
      </c>
      <c r="S124" s="23">
        <f t="shared" si="35"/>
        <v>0</v>
      </c>
      <c r="T124" s="32">
        <v>0</v>
      </c>
      <c r="U124" s="23">
        <f t="shared" si="36"/>
        <v>0</v>
      </c>
      <c r="V124" s="32">
        <v>0</v>
      </c>
      <c r="W124" s="23">
        <f t="shared" si="37"/>
        <v>0</v>
      </c>
      <c r="X124" s="32">
        <v>2500</v>
      </c>
      <c r="Y124" s="28">
        <f t="shared" si="38"/>
        <v>1.5189153874816947E-2</v>
      </c>
      <c r="Z124" s="18">
        <f t="shared" si="40"/>
        <v>2500</v>
      </c>
      <c r="AA124" s="12">
        <f t="shared" si="39"/>
        <v>1.5420655877257303E-3</v>
      </c>
    </row>
    <row r="125" spans="1:27" s="1" customFormat="1" ht="18.75" x14ac:dyDescent="0.3">
      <c r="A125" s="16" t="s">
        <v>8</v>
      </c>
      <c r="B125" s="7">
        <f>B105-B106</f>
        <v>106664.55200000004</v>
      </c>
      <c r="C125" s="13">
        <f t="shared" si="27"/>
        <v>0.47847377953572545</v>
      </c>
      <c r="D125" s="7">
        <f>D105-D106</f>
        <v>15913.790000000023</v>
      </c>
      <c r="E125" s="13">
        <f t="shared" si="28"/>
        <v>0.11459970875130196</v>
      </c>
      <c r="F125" s="7">
        <f>F105-F106</f>
        <v>8660.9699999999866</v>
      </c>
      <c r="G125" s="13">
        <f t="shared" si="29"/>
        <v>7.2275254764688088E-2</v>
      </c>
      <c r="H125" s="7">
        <f>H105-H106</f>
        <v>6050.5699999999924</v>
      </c>
      <c r="I125" s="13">
        <f t="shared" si="30"/>
        <v>5.3153927178073407E-2</v>
      </c>
      <c r="J125" s="7">
        <f>J105-J106</f>
        <v>11009.399999999994</v>
      </c>
      <c r="K125" s="13">
        <f t="shared" si="31"/>
        <v>8.8765239669533383E-2</v>
      </c>
      <c r="L125" s="7">
        <f>L105-L106</f>
        <v>26846.660000000018</v>
      </c>
      <c r="M125" s="13">
        <f t="shared" si="32"/>
        <v>0.20129146979573773</v>
      </c>
      <c r="N125" s="7">
        <f>N105-N106</f>
        <v>8259.1699999999837</v>
      </c>
      <c r="O125" s="13">
        <f t="shared" si="33"/>
        <v>6.4852829744213761E-2</v>
      </c>
      <c r="P125" s="7">
        <f>P105-P106</f>
        <v>12732.410000000003</v>
      </c>
      <c r="Q125" s="13">
        <f t="shared" si="34"/>
        <v>0.10990743195294266</v>
      </c>
      <c r="R125" s="7">
        <f>R105-R106</f>
        <v>9908.8300000000017</v>
      </c>
      <c r="S125" s="13">
        <f t="shared" si="35"/>
        <v>7.9805554284815935E-2</v>
      </c>
      <c r="T125" s="7">
        <f>T105-T106</f>
        <v>12117.359999999986</v>
      </c>
      <c r="U125" s="13">
        <f t="shared" si="36"/>
        <v>0.10145798079748936</v>
      </c>
      <c r="V125" s="7">
        <f>V105-V106</f>
        <v>-2417.8599999999878</v>
      </c>
      <c r="W125" s="13">
        <f t="shared" si="37"/>
        <v>-2.067218412817828E-2</v>
      </c>
      <c r="X125" s="7">
        <f>X105-X106</f>
        <v>17982.806000000011</v>
      </c>
      <c r="Y125" s="13">
        <f t="shared" si="38"/>
        <v>0.10925744297399265</v>
      </c>
      <c r="Z125" s="7">
        <f t="shared" si="40"/>
        <v>233728.65800000002</v>
      </c>
      <c r="AA125" s="13">
        <f t="shared" si="39"/>
        <v>0.14416996814684649</v>
      </c>
    </row>
  </sheetData>
  <sheetProtection sheet="1" selectLockedCells="1"/>
  <mergeCells count="14">
    <mergeCell ref="Z3:AA3"/>
    <mergeCell ref="B1:AA1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</mergeCells>
  <pageMargins left="0.511811024" right="0.511811024" top="0.78740157499999996" bottom="0.78740157499999996" header="0.31496062000000002" footer="0.31496062000000002"/>
  <pageSetup paperSize="9" scale="23" orientation="landscape" r:id="rId1"/>
  <rowBreaks count="5" manualBreakCount="5">
    <brk id="20" max="16383" man="1"/>
    <brk id="47" max="16383" man="1"/>
    <brk id="71" max="16383" man="1"/>
    <brk id="104" max="16383" man="1"/>
    <brk id="124" max="16383" man="1"/>
  </rowBreaks>
  <colBreaks count="2" manualBreakCount="2">
    <brk id="19" max="1048575" man="1"/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FA18-409C-463F-AEDB-38AE6D3A2C59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DDDE-93BD-4379-B695-D5985595E74D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9055-46CB-41F4-A587-215BACC4E5C0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9A91-6AFA-4ACC-A6AB-97239E7CD330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Planilha5</vt:lpstr>
      <vt:lpstr>Planilha4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trol</cp:lastModifiedBy>
  <cp:lastPrinted>2025-04-17T12:46:39Z</cp:lastPrinted>
  <dcterms:created xsi:type="dcterms:W3CDTF">2019-04-18T04:45:48Z</dcterms:created>
  <dcterms:modified xsi:type="dcterms:W3CDTF">2025-12-16T20:14:12Z</dcterms:modified>
</cp:coreProperties>
</file>